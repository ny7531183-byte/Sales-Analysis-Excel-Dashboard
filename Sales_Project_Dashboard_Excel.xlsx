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ECFE39D8-7D5A-49D6-98C5-E6376EA425D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2" sheetId="3" r:id="rId1"/>
    <sheet name="DASHBOARD" sheetId="4" r:id="rId2"/>
    <sheet name="Sales Data" sheetId="1" r:id="rId3"/>
    <sheet name="Sheet1" sheetId="2" r:id="rId4"/>
  </sheets>
  <definedNames>
    <definedName name="_xlnm._FilterDatabase" localSheetId="2" hidden="1">'Sales Data'!$A$1:$L$101</definedName>
  </definedName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4" l="1"/>
  <c r="E5" i="4"/>
  <c r="C5" i="4"/>
  <c r="A5" i="4"/>
  <c r="B2" i="2"/>
  <c r="B6" i="2"/>
  <c r="B5" i="2"/>
  <c r="B4" i="2"/>
  <c r="B3" i="2"/>
</calcChain>
</file>

<file path=xl/sharedStrings.xml><?xml version="1.0" encoding="utf-8"?>
<sst xmlns="http://schemas.openxmlformats.org/spreadsheetml/2006/main" count="546" uniqueCount="151">
  <si>
    <t>Order_ID</t>
  </si>
  <si>
    <t>Order_Date</t>
  </si>
  <si>
    <t>Product</t>
  </si>
  <si>
    <t>Category</t>
  </si>
  <si>
    <t>Region</t>
  </si>
  <si>
    <t>Sales_Channel</t>
  </si>
  <si>
    <t>Quantity</t>
  </si>
  <si>
    <t>Unit_Price_INR</t>
  </si>
  <si>
    <t>Discount_Rate</t>
  </si>
  <si>
    <t>Revenue_INR</t>
  </si>
  <si>
    <t>Cost_INR</t>
  </si>
  <si>
    <t>Profit_INR</t>
  </si>
  <si>
    <t>ORD1001</t>
  </si>
  <si>
    <t>Desk Lamp</t>
  </si>
  <si>
    <t>Home Office</t>
  </si>
  <si>
    <t>South</t>
  </si>
  <si>
    <t>Online</t>
  </si>
  <si>
    <t>ORD1063</t>
  </si>
  <si>
    <t>Laptop Stand</t>
  </si>
  <si>
    <t>Accessories</t>
  </si>
  <si>
    <t>East</t>
  </si>
  <si>
    <t>Retail</t>
  </si>
  <si>
    <t>ORD1006</t>
  </si>
  <si>
    <t>Wireless Mouse</t>
  </si>
  <si>
    <t>West</t>
  </si>
  <si>
    <t>Partner</t>
  </si>
  <si>
    <t>ORD1056</t>
  </si>
  <si>
    <t>Webcam</t>
  </si>
  <si>
    <t>Electronics</t>
  </si>
  <si>
    <t>North</t>
  </si>
  <si>
    <t>ORD1096</t>
  </si>
  <si>
    <t>ORD1013</t>
  </si>
  <si>
    <t>Central</t>
  </si>
  <si>
    <t>ORD1046</t>
  </si>
  <si>
    <t>ORD1026</t>
  </si>
  <si>
    <t>ORD1042</t>
  </si>
  <si>
    <t>Keyboard</t>
  </si>
  <si>
    <t>ORD1085</t>
  </si>
  <si>
    <t>Headphones</t>
  </si>
  <si>
    <t>Audio</t>
  </si>
  <si>
    <t>ORD1012</t>
  </si>
  <si>
    <t>ORD1097</t>
  </si>
  <si>
    <t>USB Hub</t>
  </si>
  <si>
    <t>ORD1044</t>
  </si>
  <si>
    <t>ORD1032</t>
  </si>
  <si>
    <t>ORD1073</t>
  </si>
  <si>
    <t>ORD1099</t>
  </si>
  <si>
    <t>ORD1082</t>
  </si>
  <si>
    <t>ORD1045</t>
  </si>
  <si>
    <t>ORD1049</t>
  </si>
  <si>
    <t>ORD1059</t>
  </si>
  <si>
    <t>ORD1069</t>
  </si>
  <si>
    <t>ORD1052</t>
  </si>
  <si>
    <t>ORD1036</t>
  </si>
  <si>
    <t>ORD1016</t>
  </si>
  <si>
    <t>ORD1054</t>
  </si>
  <si>
    <t>ORD1092</t>
  </si>
  <si>
    <t>ORD1004</t>
  </si>
  <si>
    <t>ORD1028</t>
  </si>
  <si>
    <t>ORD1057</t>
  </si>
  <si>
    <t>ORD1098</t>
  </si>
  <si>
    <t>ORD1035</t>
  </si>
  <si>
    <t>ORD1064</t>
  </si>
  <si>
    <t>ORD1089</t>
  </si>
  <si>
    <t>ORD1060</t>
  </si>
  <si>
    <t>ORD1008</t>
  </si>
  <si>
    <t>ORD1083</t>
  </si>
  <si>
    <t>ORD1024</t>
  </si>
  <si>
    <t>ORD1040</t>
  </si>
  <si>
    <t>ORD1077</t>
  </si>
  <si>
    <t>ORD1068</t>
  </si>
  <si>
    <t>ORD1051</t>
  </si>
  <si>
    <t>ORD1061</t>
  </si>
  <si>
    <t>Monitor</t>
  </si>
  <si>
    <t>ORD1081</t>
  </si>
  <si>
    <t>ORD1007</t>
  </si>
  <si>
    <t>ORD1029</t>
  </si>
  <si>
    <t>ORD1027</t>
  </si>
  <si>
    <t>ORD1055</t>
  </si>
  <si>
    <t>ORD1023</t>
  </si>
  <si>
    <t>ORD1095</t>
  </si>
  <si>
    <t>ORD1021</t>
  </si>
  <si>
    <t>ORD1039</t>
  </si>
  <si>
    <t>ORD1070</t>
  </si>
  <si>
    <t>ORD1067</t>
  </si>
  <si>
    <t>ORD1050</t>
  </si>
  <si>
    <t>ORD1011</t>
  </si>
  <si>
    <t>ORD1022</t>
  </si>
  <si>
    <t>ORD1025</t>
  </si>
  <si>
    <t>ORD1015</t>
  </si>
  <si>
    <t>ORD1079</t>
  </si>
  <si>
    <t>ORD1019</t>
  </si>
  <si>
    <t>ORD1062</t>
  </si>
  <si>
    <t>ORD1002</t>
  </si>
  <si>
    <t>ORD1003</t>
  </si>
  <si>
    <t>ORD1048</t>
  </si>
  <si>
    <t>ORD1072</t>
  </si>
  <si>
    <t>ORD1078</t>
  </si>
  <si>
    <t>ORD1100</t>
  </si>
  <si>
    <t>ORD1076</t>
  </si>
  <si>
    <t>ORD1005</t>
  </si>
  <si>
    <t>ORD1084</t>
  </si>
  <si>
    <t>ORD1093</t>
  </si>
  <si>
    <t>ORD1018</t>
  </si>
  <si>
    <t>ORD1037</t>
  </si>
  <si>
    <t>ORD1088</t>
  </si>
  <si>
    <t>ORD1014</t>
  </si>
  <si>
    <t>ORD1030</t>
  </si>
  <si>
    <t>ORD1090</t>
  </si>
  <si>
    <t>ORD1065</t>
  </si>
  <si>
    <t>ORD1066</t>
  </si>
  <si>
    <t>ORD1075</t>
  </si>
  <si>
    <t>ORD1086</t>
  </si>
  <si>
    <t>ORD1031</t>
  </si>
  <si>
    <t>ORD1091</t>
  </si>
  <si>
    <t>ORD1053</t>
  </si>
  <si>
    <t>ORD1033</t>
  </si>
  <si>
    <t>ORD1047</t>
  </si>
  <si>
    <t>ORD1043</t>
  </si>
  <si>
    <t>ORD1094</t>
  </si>
  <si>
    <t>ORD1017</t>
  </si>
  <si>
    <t>ORD1080</t>
  </si>
  <si>
    <t>ORD1020</t>
  </si>
  <si>
    <t>ORD1034</t>
  </si>
  <si>
    <t>ORD1071</t>
  </si>
  <si>
    <t>ORD1058</t>
  </si>
  <si>
    <t>ORD1074</t>
  </si>
  <si>
    <t>ORD1038</t>
  </si>
  <si>
    <t>ORD1009</t>
  </si>
  <si>
    <t>ORD1087</t>
  </si>
  <si>
    <t>ORD1041</t>
  </si>
  <si>
    <t>ORD1010</t>
  </si>
  <si>
    <t>Metric</t>
  </si>
  <si>
    <t>Value</t>
  </si>
  <si>
    <t>Total Revenue</t>
  </si>
  <si>
    <t>Total Profit</t>
  </si>
  <si>
    <t>Total Quantity</t>
  </si>
  <si>
    <t>Total Orders</t>
  </si>
  <si>
    <t>Average Revenue</t>
  </si>
  <si>
    <t>Row Labels</t>
  </si>
  <si>
    <t>Grand Total</t>
  </si>
  <si>
    <t>Sum of Revenue_INR</t>
  </si>
  <si>
    <t>Jan</t>
  </si>
  <si>
    <t>Feb</t>
  </si>
  <si>
    <t>Mar</t>
  </si>
  <si>
    <t>Apr</t>
  </si>
  <si>
    <t>SALES PERFORMANCE DASHBOARD</t>
  </si>
  <si>
    <t>TOTAL REVENUE</t>
  </si>
  <si>
    <t>TOTAL PROFIT</t>
  </si>
  <si>
    <t>TOTAL QUANTITY</t>
  </si>
  <si>
    <t>TOTAL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</si>
</sst>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-mmm\-yyyy"/>
    <numFmt numFmtId="166" formatCode="\₹#,##0.00"/>
    <numFmt numFmtId="167" formatCode="&quot;₹&quot;\ #,##0.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20"/>
      <color theme="1"/>
      <name val="Arial"/>
      <family val="2"/>
    </font>
    <font>
      <b/>
      <sz val="20"/>
      <color rgb="FF00B0F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theme="1"/>
        <bgColor indexed="64"/>
      </patternFill>
    </fill>
    <fill>
      <patternFill patternType="solid">
        <fgColor rgb="FF16A0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165" fontId="0" fillId="0" borderId="0" xfId="0" applyNumberFormat="1"/>
    <xf numFmtId="166" fontId="0" fillId="0" borderId="0" xfId="0" applyNumberFormat="1"/>
    <xf numFmtId="9" fontId="0" fillId="0" borderId="0" xfId="0" applyNumberFormat="1"/>
    <xf numFmtId="0" fontId="1" fillId="2" borderId="1" xfId="0" applyFont="1" applyFill="1" applyBorder="1" applyAlignment="1">
      <alignment horizontal="center"/>
    </xf>
    <xf numFmtId="0" fontId="3" fillId="0" borderId="0" xfId="0" applyFon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5" fillId="3" borderId="0" xfId="0" applyFont="1" applyFill="1" applyAlignment="1"/>
    <xf numFmtId="0" fontId="0" fillId="3" borderId="0" xfId="0" applyFill="1"/>
    <xf numFmtId="0" fontId="4" fillId="4" borderId="0" xfId="0" applyFont="1" applyFill="1" applyAlignment="1"/>
    <xf numFmtId="0" fontId="0" fillId="4" borderId="0" xfId="0" applyFill="1"/>
    <xf numFmtId="0" fontId="0" fillId="4" borderId="0" xfId="0" applyFill="1" applyAlignment="1"/>
    <xf numFmtId="0" fontId="2" fillId="4" borderId="0" xfId="0" applyFont="1" applyFill="1"/>
    <xf numFmtId="167" fontId="0" fillId="4" borderId="0" xfId="0" applyNumberFormat="1" applyFill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7365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\₹#,##0.00"/>
    </dxf>
    <dxf>
      <numFmt numFmtId="166" formatCode="\₹#,##0.00"/>
    </dxf>
    <dxf>
      <numFmt numFmtId="166" formatCode="\₹#,##0.00"/>
    </dxf>
    <dxf>
      <numFmt numFmtId="13" formatCode="0%"/>
    </dxf>
    <dxf>
      <numFmt numFmtId="166" formatCode="\₹#,##0.00"/>
    </dxf>
    <dxf>
      <numFmt numFmtId="165" formatCode="dd\-mmm\-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colors>
    <mruColors>
      <color rgb="FF16A0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[Sales_Project_Dashboard_Excel.xlsx]Sheet2!PivotTable1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Region-wise</a:t>
            </a:r>
            <a:r>
              <a:rPr lang="en-US" sz="12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Sales Analysis</a:t>
            </a:r>
            <a:endPara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6750000000000005"/>
          <c:y val="0.147127442403032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Sheet2!$B$4:$B$9</c:f>
              <c:numCache>
                <c:formatCode>\₹#,##0.00</c:formatCode>
                <c:ptCount val="5"/>
                <c:pt idx="0">
                  <c:v>125477.27999999998</c:v>
                </c:pt>
                <c:pt idx="1">
                  <c:v>83597.48000000001</c:v>
                </c:pt>
                <c:pt idx="2">
                  <c:v>69314.209999999992</c:v>
                </c:pt>
                <c:pt idx="3">
                  <c:v>72749.410000000018</c:v>
                </c:pt>
                <c:pt idx="4">
                  <c:v>146364.53999999998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8-467B-9ADA-F6CB04A115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72915215"/>
        <c:axId val="1818105071"/>
      </c:barChart>
      <c:catAx>
        <c:axId val="207291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105071"/>
        <c:crosses val="autoZero"/>
        <c:auto val="1"/>
        <c:lblAlgn val="ctr"/>
        <c:lblOffset val="100"/>
        <c:noMultiLvlLbl val="0"/>
      </c:catAx>
      <c:valAx>
        <c:axId val="181810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91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[Sales_Project_Dashboard_Excel.xlsx]Sheet2!PivotTable2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Category_wise</a:t>
            </a:r>
            <a:r>
              <a:rPr lang="en-IN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sales</a:t>
            </a:r>
            <a:endParaRPr lang="en-IN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458092738407699"/>
          <c:y val="0.3698126275882182"/>
          <c:w val="0.79541907261592304"/>
          <c:h val="0.542327209098862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Sheet2!$A$22:$A$26</c:f>
              <c:strCache>
                <c:ptCount val="4"/>
                <c:pt idx="0">
                  <c:v>Accessories</c:v>
                </c:pt>
                <c:pt idx="1">
                  <c:v>Audio</c:v>
                </c:pt>
                <c:pt idx="2">
                  <c:v>Electronics</c:v>
                </c:pt>
                <c:pt idx="3">
                  <c:v>Home Office</c:v>
                </c:pt>
              </c:strCache>
            </c:strRef>
          </c:cat>
          <c:val>
            <c:numRef>
              <c:f>Sheet2!$B$22:$B$26</c:f>
              <c:numCache>
                <c:formatCode>\₹#,##0.00</c:formatCode>
                <c:ptCount val="4"/>
                <c:pt idx="0">
                  <c:v>158808.03999999998</c:v>
                </c:pt>
                <c:pt idx="1">
                  <c:v>74548.029999999984</c:v>
                </c:pt>
                <c:pt idx="2">
                  <c:v>212612.61000000002</c:v>
                </c:pt>
                <c:pt idx="3">
                  <c:v>51534.239999999998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B9-4728-81B6-B5CE41F085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61477327"/>
        <c:axId val="2076896591"/>
      </c:barChart>
      <c:catAx>
        <c:axId val="206147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896591"/>
        <c:crosses val="autoZero"/>
        <c:auto val="1"/>
        <c:lblAlgn val="ctr"/>
        <c:lblOffset val="100"/>
        <c:noMultiLvlLbl val="0"/>
      </c:catAx>
      <c:valAx>
        <c:axId val="207689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477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[Sales_Project_Dashboard_Excel.xlsx]Sheet2!PivotTable3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Monthly</a:t>
            </a:r>
            <a:r>
              <a:rPr lang="en-US" sz="12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Sales Trend</a:t>
            </a:r>
            <a:endPara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441666666666668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Sheet2!$A$37:$A$41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Sheet2!$B$37:$B$41</c:f>
              <c:numCache>
                <c:formatCode>\₹#,##0.00</c:formatCode>
                <c:ptCount val="4"/>
                <c:pt idx="0">
                  <c:v>109992.21</c:v>
                </c:pt>
                <c:pt idx="1">
                  <c:v>129611.9</c:v>
                </c:pt>
                <c:pt idx="2">
                  <c:v>115501.37</c:v>
                </c:pt>
                <c:pt idx="3">
                  <c:v>142397.44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8-4C26-8FE7-CAAEB65CD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4720303"/>
        <c:axId val="2076916751"/>
      </c:barChart>
      <c:catAx>
        <c:axId val="211472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916751"/>
        <c:crosses val="autoZero"/>
        <c:auto val="1"/>
        <c:lblAlgn val="ctr"/>
        <c:lblOffset val="100"/>
        <c:noMultiLvlLbl val="0"/>
      </c:catAx>
      <c:valAx>
        <c:axId val="207691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720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[Sales_Project_Dashboard_Excel.xlsx]Sheet2!PivotTable1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Region-wise</a:t>
            </a:r>
            <a:r>
              <a:rPr lang="en-US" sz="12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Sales Analysis</a:t>
            </a:r>
            <a:endPara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675000504477996"/>
          <c:y val="7.0568865715294818E-2"/>
        </c:manualLayout>
      </c:layout>
      <c:overlay val="0"/>
      <c:spPr>
        <a:solidFill>
          <a:schemeClr val="tx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</c:spPr>
      </c:pivotFmt>
      <c:pivotFmt>
        <c:idx val="4"/>
        <c:spPr>
          <a:solidFill>
            <a:srgbClr val="00B050"/>
          </a:solidFill>
          <a:ln>
            <a:noFill/>
          </a:ln>
          <a:effectLst/>
        </c:spPr>
      </c:pivotFmt>
      <c:pivotFmt>
        <c:idx val="5"/>
        <c:spPr>
          <a:solidFill>
            <a:srgbClr val="C00000"/>
          </a:solidFill>
          <a:ln>
            <a:noFill/>
          </a:ln>
          <a:effectLst/>
        </c:spPr>
      </c:pivotFmt>
      <c:pivotFmt>
        <c:idx val="6"/>
        <c:spPr>
          <a:solidFill>
            <a:srgbClr val="92D05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6551954264544932"/>
          <c:y val="0.16925974834649374"/>
          <c:w val="0.80277635564679384"/>
          <c:h val="0.637192436494439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D48-4A67-AE9B-9DBD7BF8AE60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D48-4A67-AE9B-9DBD7BF8AE60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D48-4A67-AE9B-9DBD7BF8AE60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D48-4A67-AE9B-9DBD7BF8AE60}"/>
              </c:ext>
            </c:extLst>
          </c:dPt>
          <c:dLbls>
            <c:spPr>
              <a:blipFill>
                <a:blip xmlns:r="http://schemas.openxmlformats.org/officeDocument/2006/relationships" r:embed="rId3"/>
                <a:tile tx="0" ty="0" sx="100000" sy="100000" flip="none" algn="tl"/>
              </a:blip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Sheet2!$B$4:$B$9</c:f>
              <c:numCache>
                <c:formatCode>\₹#,##0.00</c:formatCode>
                <c:ptCount val="5"/>
                <c:pt idx="0">
                  <c:v>125477.27999999998</c:v>
                </c:pt>
                <c:pt idx="1">
                  <c:v>83597.48000000001</c:v>
                </c:pt>
                <c:pt idx="2">
                  <c:v>69314.209999999992</c:v>
                </c:pt>
                <c:pt idx="3">
                  <c:v>72749.410000000018</c:v>
                </c:pt>
                <c:pt idx="4">
                  <c:v>146364.53999999998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48-4A67-AE9B-9DBD7BF8AE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72915215"/>
        <c:axId val="1818105071"/>
      </c:barChart>
      <c:catAx>
        <c:axId val="207291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105071"/>
        <c:crosses val="autoZero"/>
        <c:auto val="1"/>
        <c:lblAlgn val="ctr"/>
        <c:lblOffset val="100"/>
        <c:noMultiLvlLbl val="0"/>
      </c:catAx>
      <c:valAx>
        <c:axId val="181810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915215"/>
        <c:crosses val="autoZero"/>
        <c:crossBetween val="between"/>
      </c:valAx>
      <c:spPr>
        <a:solidFill>
          <a:schemeClr val="tx2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[Sales_Project_Dashboard_Excel.xlsx]Sheet2!PivotTable2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Category_wise</a:t>
            </a:r>
            <a:r>
              <a:rPr lang="en-IN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sales</a:t>
            </a:r>
            <a:endParaRPr lang="en-IN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7163331351304824"/>
          <c:y val="0.10711018292118434"/>
        </c:manualLayout>
      </c:layout>
      <c:overlay val="0"/>
      <c:spPr>
        <a:solidFill>
          <a:schemeClr val="tx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gradFill>
              <a:gsLst>
                <a:gs pos="1500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458092738407699"/>
          <c:y val="0.31752491722848375"/>
          <c:w val="0.79541907261592304"/>
          <c:h val="0.59461479079820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Sheet2!$B$21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56D-4165-B65A-E6F7B21C0F9B}"/>
              </c:ext>
            </c:extLst>
          </c:dPt>
          <c:dLbls>
            <c:spPr>
              <a:gradFill>
                <a:gsLst>
                  <a:gs pos="15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Sheet2!$A$22:$A$26</c:f>
              <c:strCache>
                <c:ptCount val="4"/>
                <c:pt idx="0">
                  <c:v>Accessories</c:v>
                </c:pt>
                <c:pt idx="1">
                  <c:v>Audio</c:v>
                </c:pt>
                <c:pt idx="2">
                  <c:v>Electronics</c:v>
                </c:pt>
                <c:pt idx="3">
                  <c:v>Home Office</c:v>
                </c:pt>
              </c:strCache>
            </c:strRef>
          </c:cat>
          <c:val>
            <c:numRef>
              <c:f>Sheet2!$B$22:$B$26</c:f>
              <c:numCache>
                <c:formatCode>\₹#,##0.00</c:formatCode>
                <c:ptCount val="4"/>
                <c:pt idx="0">
                  <c:v>158808.03999999998</c:v>
                </c:pt>
                <c:pt idx="1">
                  <c:v>74548.029999999984</c:v>
                </c:pt>
                <c:pt idx="2">
                  <c:v>212612.61000000002</c:v>
                </c:pt>
                <c:pt idx="3">
                  <c:v>51534.239999999998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6D-4165-B65A-E6F7B21C0F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61477327"/>
        <c:axId val="2076896591"/>
      </c:barChart>
      <c:catAx>
        <c:axId val="206147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896591"/>
        <c:crosses val="autoZero"/>
        <c:auto val="1"/>
        <c:lblAlgn val="ctr"/>
        <c:lblOffset val="100"/>
        <c:noMultiLvlLbl val="0"/>
      </c:catAx>
      <c:valAx>
        <c:axId val="207689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477327"/>
        <c:crosses val="autoZero"/>
        <c:crossBetween val="between"/>
      </c:valAx>
      <c:spPr>
        <a:solidFill>
          <a:schemeClr val="bg2">
            <a:lumMod val="90000"/>
          </a:schemeClr>
        </a:solidFill>
        <a:ln>
          <a:solidFill>
            <a:schemeClr val="accent2">
              <a:lumMod val="60000"/>
              <a:lumOff val="4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60000"/>
        <a:lumOff val="40000"/>
      </a:schemeClr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[Sales_Project_Dashboard_Excel.xlsx]Sheet2!PivotTable3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Monthly</a:t>
            </a:r>
            <a:r>
              <a:rPr lang="en-US" sz="12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Sales Trend</a:t>
            </a:r>
            <a:endPara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441666666666668"/>
          <c:y val="0.12397929425488481"/>
        </c:manualLayout>
      </c:layout>
      <c:overlay val="0"/>
      <c:spPr>
        <a:solidFill>
          <a:schemeClr val="tx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rgbClr val="FFFF00"/>
          </a:solidFill>
          <a:ln>
            <a:noFill/>
          </a:ln>
          <a:effectLst/>
        </c:spPr>
      </c:pivotFmt>
      <c:pivotFmt>
        <c:idx val="5"/>
        <c:spPr>
          <a:solidFill>
            <a:srgbClr val="7030A0"/>
          </a:solidFill>
          <a:ln>
            <a:noFill/>
          </a:ln>
          <a:effectLst/>
        </c:spPr>
      </c:pivotFmt>
      <c:pivotFmt>
        <c:idx val="6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A85-43C1-920E-14A2AB5B0F9A}"/>
              </c:ext>
            </c:extLst>
          </c:dPt>
          <c:dPt>
            <c:idx val="1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85-43C1-920E-14A2AB5B0F9A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A85-43C1-920E-14A2AB5B0F9A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85-43C1-920E-14A2AB5B0F9A}"/>
              </c:ext>
            </c:extLst>
          </c:dPt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Sheet2!$A$37:$A$41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Sheet2!$B$37:$B$41</c:f>
              <c:numCache>
                <c:formatCode>\₹#,##0.00</c:formatCode>
                <c:ptCount val="4"/>
                <c:pt idx="0">
                  <c:v>109992.21</c:v>
                </c:pt>
                <c:pt idx="1">
                  <c:v>129611.9</c:v>
                </c:pt>
                <c:pt idx="2">
                  <c:v>115501.37</c:v>
                </c:pt>
                <c:pt idx="3">
                  <c:v>142397.44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5-43C1-920E-14A2AB5B0F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4720303"/>
        <c:axId val="2076916751"/>
      </c:barChart>
      <c:catAx>
        <c:axId val="211472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916751"/>
        <c:crosses val="autoZero"/>
        <c:auto val="1"/>
        <c:lblAlgn val="ctr"/>
        <c:lblOffset val="100"/>
        <c:noMultiLvlLbl val="0"/>
      </c:catAx>
      <c:valAx>
        <c:axId val="207691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720303"/>
        <c:crosses val="autoZero"/>
        <c:crossBetween val="between"/>
      </c:valAx>
      <c:spPr>
        <a:solidFill>
          <a:schemeClr val="bg2">
            <a:lumMod val="90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00"/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0</xdr:row>
      <xdr:rowOff>120650</xdr:rowOff>
    </xdr:from>
    <xdr:to>
      <xdr:col>10</xdr:col>
      <xdr:colOff>171450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F74909-634D-B56F-378D-E9FE51E6B6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254000</xdr:colOff>
      <xdr:row>16</xdr:row>
      <xdr:rowOff>68848</xdr:rowOff>
    </xdr:from>
    <xdr:to>
      <xdr:col>11</xdr:col>
      <xdr:colOff>53474</xdr:colOff>
      <xdr:row>31</xdr:row>
      <xdr:rowOff>4679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F19EC0-BB4F-4289-F36B-C0F2D1126E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548105</xdr:colOff>
      <xdr:row>32</xdr:row>
      <xdr:rowOff>115637</xdr:rowOff>
    </xdr:from>
    <xdr:to>
      <xdr:col>10</xdr:col>
      <xdr:colOff>254000</xdr:colOff>
      <xdr:row>47</xdr:row>
      <xdr:rowOff>51469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92305E-15DE-8C73-D65F-93448191AF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7</xdr:row>
      <xdr:rowOff>31750</xdr:rowOff>
    </xdr:from>
    <xdr:to>
      <xdr:col>5</xdr:col>
      <xdr:colOff>387350</xdr:colOff>
      <xdr:row>22</xdr:row>
      <xdr:rowOff>89568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7C87B2-A96B-450B-BB8F-6B3227F61A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393700</xdr:colOff>
      <xdr:row>7</xdr:row>
      <xdr:rowOff>31750</xdr:rowOff>
    </xdr:from>
    <xdr:to>
      <xdr:col>12</xdr:col>
      <xdr:colOff>196850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4DF82A-BB93-47CC-AB8E-7AB5F7191F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228600</xdr:colOff>
      <xdr:row>7</xdr:row>
      <xdr:rowOff>63500</xdr:rowOff>
    </xdr:from>
    <xdr:to>
      <xdr:col>19</xdr:col>
      <xdr:colOff>533400</xdr:colOff>
      <xdr:row>22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F344EB-0378-4B68-9077-09EF521D72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lesh Yadav" refreshedDate="46324.607994212965" createdVersion="8" refreshedVersion="8" minRefreshableVersion="3" recordCount="100" xr:uid="{C6D94FCD-3DD3-4A06-83B6-E8D277C75B0C}">
  <cacheSource type="worksheet">
    <worksheetSource name="Sales_data"/>
  </cacheSource>
  <cacheFields count="14">
    <cacheField name="Order_ID" numFmtId="0">
      <sharedItems/>
    </cacheField>
    <cacheField name="Order_Date" numFmtId="165">
      <sharedItems containsSemiMixedTypes="0" containsNonDate="0" containsDate="1" containsString="0" minDate="2026-01-02T00:00:00" maxDate="2026-04-29T00:00:00" count="70">
        <d v="2026-01-02T00:00:00"/>
        <d v="2026-01-04T00:00:00"/>
        <d v="2026-01-05T00:00:00"/>
        <d v="2026-01-07T00:00:00"/>
        <d v="2026-01-08T00:00:00"/>
        <d v="2026-01-09T00:00:00"/>
        <d v="2026-01-10T00:00:00"/>
        <d v="2026-01-13T00:00:00"/>
        <d v="2026-01-14T00:00:00"/>
        <d v="2026-01-16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31T00:00:00"/>
        <d v="2026-02-01T00:00:00"/>
        <d v="2026-02-04T00:00:00"/>
        <d v="2026-02-05T00:00:00"/>
        <d v="2026-02-06T00:00:00"/>
        <d v="2026-02-07T00:00:00"/>
        <d v="2026-02-08T00:00:00"/>
        <d v="2026-02-09T00:00:00"/>
        <d v="2026-02-13T00:00:00"/>
        <d v="2026-02-17T00:00:00"/>
        <d v="2026-02-18T00:00:00"/>
        <d v="2026-02-21T00:00:00"/>
        <d v="2026-02-22T00:00:00"/>
        <d v="2026-02-24T00:00:00"/>
        <d v="2026-02-26T00:00:00"/>
        <d v="2026-02-27T00:00:00"/>
        <d v="2026-02-28T00:00:00"/>
        <d v="2026-03-02T00:00:00"/>
        <d v="2026-03-03T00:00:00"/>
        <d v="2026-03-04T00:00:00"/>
        <d v="2026-03-05T00:00:00"/>
        <d v="2026-03-08T00:00:00"/>
        <d v="2026-03-09T00:00:00"/>
        <d v="2026-03-10T00:00:00"/>
        <d v="2026-03-11T00:00:00"/>
        <d v="2026-03-13T00:00:00"/>
        <d v="2026-03-14T00:00:00"/>
        <d v="2026-03-15T00:00:00"/>
        <d v="2026-03-16T00:00:00"/>
        <d v="2026-03-17T00:00:00"/>
        <d v="2026-03-20T00:00:00"/>
        <d v="2026-03-21T00:00:00"/>
        <d v="2026-03-23T00:00:00"/>
        <d v="2026-03-28T00:00:00"/>
        <d v="2026-03-29T00:00:00"/>
        <d v="2026-03-30T00:00:00"/>
        <d v="2026-03-31T00:00:00"/>
        <d v="2026-04-01T00:00:00"/>
        <d v="2026-04-04T00:00:00"/>
        <d v="2026-04-07T00:00:00"/>
        <d v="2026-04-09T00:00:00"/>
        <d v="2026-04-11T00:00:00"/>
        <d v="2026-04-15T00:00:00"/>
        <d v="2026-04-16T00:00:00"/>
        <d v="2026-04-20T00:00:00"/>
        <d v="2026-04-21T00:00:00"/>
        <d v="2026-04-22T00:00:00"/>
        <d v="2026-04-23T00:00:00"/>
        <d v="2026-04-24T00:00:00"/>
        <d v="2026-04-25T00:00:00"/>
        <d v="2026-04-27T00:00:00"/>
        <d v="2026-04-28T00:00:00"/>
      </sharedItems>
      <fieldGroup par="13"/>
    </cacheField>
    <cacheField name="Product" numFmtId="0">
      <sharedItems/>
    </cacheField>
    <cacheField name="Category" numFmtId="0">
      <sharedItems count="4">
        <s v="Home Office"/>
        <s v="Accessories"/>
        <s v="Electronics"/>
        <s v="Audio"/>
      </sharedItems>
    </cacheField>
    <cacheField name="Region" numFmtId="0">
      <sharedItems count="5">
        <s v="South"/>
        <s v="East"/>
        <s v="West"/>
        <s v="North"/>
        <s v="Central"/>
      </sharedItems>
    </cacheField>
    <cacheField name="Sales_Channel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_INR" numFmtId="166">
      <sharedItems containsSemiMixedTypes="0" containsString="0" containsNumber="1" minValue="639" maxValue="12801.76"/>
    </cacheField>
    <cacheField name="Discount_Rate" numFmtId="9">
      <sharedItems containsSemiMixedTypes="0" containsString="0" containsNumber="1" minValue="0" maxValue="0.15"/>
    </cacheField>
    <cacheField name="Revenue_INR" numFmtId="166">
      <sharedItems containsSemiMixedTypes="0" containsString="0" containsNumber="1" minValue="607.04999999999995" maxValue="47896.34"/>
    </cacheField>
    <cacheField name="Cost_INR" numFmtId="166">
      <sharedItems containsSemiMixedTypes="0" containsString="0" containsNumber="1" minValue="398.84" maxValue="37198.68"/>
    </cacheField>
    <cacheField name="Profit_INR" numFmtId="166">
      <sharedItems containsSemiMixedTypes="0" containsString="0" containsNumber="1" minValue="91.14" maxValue="10697.66"/>
    </cacheField>
    <cacheField name="Days (Order_Date)" numFmtId="0" databaseField="0">
      <fieldGroup base="1">
        <rangePr groupBy="days" startDate="2026-01-02T00:00:00" endDate="2026-04-29T00:00:00"/>
        <groupItems count="368">
          <s v="&lt;02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9-04-2026"/>
        </groupItems>
      </fieldGroup>
    </cacheField>
    <cacheField name="Months (Order_Date)" numFmtId="0" databaseField="0">
      <fieldGroup base="1">
        <rangePr groupBy="months" startDate="2026-01-02T00:00:00" endDate="2026-04-29T00:00:00"/>
        <groupItems count="14">
          <s v="&lt;02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04-2026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ORD1001"/>
    <x v="0"/>
    <s v="Desk Lamp"/>
    <x v="0"/>
    <x v="0"/>
    <s v="Online"/>
    <n v="1"/>
    <n v="1158.07"/>
    <n v="0.05"/>
    <n v="1100.17"/>
    <n v="819.09"/>
    <n v="281.08"/>
  </r>
  <r>
    <s v="ORD1063"/>
    <x v="1"/>
    <s v="Laptop Stand"/>
    <x v="1"/>
    <x v="1"/>
    <s v="Retail"/>
    <n v="2"/>
    <n v="1200.8699999999999"/>
    <n v="0"/>
    <n v="2401.7399999999998"/>
    <n v="1861"/>
    <n v="540.74"/>
  </r>
  <r>
    <s v="ORD1006"/>
    <x v="1"/>
    <s v="Wireless Mouse"/>
    <x v="1"/>
    <x v="2"/>
    <s v="Partner"/>
    <n v="5"/>
    <n v="751.57"/>
    <n v="0.05"/>
    <n v="3569.96"/>
    <n v="2246.37"/>
    <n v="1323.59"/>
  </r>
  <r>
    <s v="ORD1056"/>
    <x v="2"/>
    <s v="Webcam"/>
    <x v="2"/>
    <x v="3"/>
    <s v="Retail"/>
    <n v="1"/>
    <n v="1815.34"/>
    <n v="0.15"/>
    <n v="1543.04"/>
    <n v="1405.29"/>
    <n v="137.75"/>
  </r>
  <r>
    <s v="ORD1096"/>
    <x v="3"/>
    <s v="Webcam"/>
    <x v="2"/>
    <x v="0"/>
    <s v="Retail"/>
    <n v="4"/>
    <n v="1631.22"/>
    <n v="0.1"/>
    <n v="5872.39"/>
    <n v="4017.07"/>
    <n v="1855.32"/>
  </r>
  <r>
    <s v="ORD1013"/>
    <x v="4"/>
    <s v="Desk Lamp"/>
    <x v="0"/>
    <x v="4"/>
    <s v="Retail"/>
    <n v="5"/>
    <n v="1163.46"/>
    <n v="0.1"/>
    <n v="5235.57"/>
    <n v="4350.68"/>
    <n v="884.89"/>
  </r>
  <r>
    <s v="ORD1046"/>
    <x v="4"/>
    <s v="Webcam"/>
    <x v="2"/>
    <x v="4"/>
    <s v="Partner"/>
    <n v="1"/>
    <n v="1868.37"/>
    <n v="0.05"/>
    <n v="1774.95"/>
    <n v="1264.57"/>
    <n v="510.38"/>
  </r>
  <r>
    <s v="ORD1026"/>
    <x v="5"/>
    <s v="Desk Lamp"/>
    <x v="0"/>
    <x v="3"/>
    <s v="Retail"/>
    <n v="2"/>
    <n v="1055.3699999999999"/>
    <n v="0.15"/>
    <n v="1794.13"/>
    <n v="1564.77"/>
    <n v="229.36"/>
  </r>
  <r>
    <s v="ORD1042"/>
    <x v="5"/>
    <s v="Keyboard"/>
    <x v="1"/>
    <x v="3"/>
    <s v="Partner"/>
    <n v="2"/>
    <n v="1619.08"/>
    <n v="0.05"/>
    <n v="3076.25"/>
    <n v="1867.66"/>
    <n v="1208.5899999999999"/>
  </r>
  <r>
    <s v="ORD1085"/>
    <x v="6"/>
    <s v="Headphones"/>
    <x v="3"/>
    <x v="2"/>
    <s v="Online"/>
    <n v="3"/>
    <n v="2143.66"/>
    <n v="0"/>
    <n v="6430.98"/>
    <n v="4604.92"/>
    <n v="1826.06"/>
  </r>
  <r>
    <s v="ORD1012"/>
    <x v="7"/>
    <s v="Wireless Mouse"/>
    <x v="1"/>
    <x v="0"/>
    <s v="Retail"/>
    <n v="2"/>
    <n v="658.15"/>
    <n v="0.05"/>
    <n v="1250.48"/>
    <n v="939.96"/>
    <n v="310.52"/>
  </r>
  <r>
    <s v="ORD1097"/>
    <x v="7"/>
    <s v="USB Hub"/>
    <x v="1"/>
    <x v="0"/>
    <s v="Partner"/>
    <n v="2"/>
    <n v="814.17"/>
    <n v="0.15"/>
    <n v="1384.09"/>
    <n v="1209.53"/>
    <n v="174.56"/>
  </r>
  <r>
    <s v="ORD1044"/>
    <x v="7"/>
    <s v="Webcam"/>
    <x v="2"/>
    <x v="2"/>
    <s v="Retail"/>
    <n v="5"/>
    <n v="1933.3"/>
    <n v="0.15"/>
    <n v="8216.52"/>
    <n v="6099.62"/>
    <n v="2116.9"/>
  </r>
  <r>
    <s v="ORD1032"/>
    <x v="8"/>
    <s v="Laptop Stand"/>
    <x v="1"/>
    <x v="2"/>
    <s v="Online"/>
    <n v="3"/>
    <n v="1139.5899999999999"/>
    <n v="0.15"/>
    <n v="2905.95"/>
    <n v="2478.14"/>
    <n v="427.81"/>
  </r>
  <r>
    <s v="ORD1073"/>
    <x v="9"/>
    <s v="Webcam"/>
    <x v="2"/>
    <x v="2"/>
    <s v="Partner"/>
    <n v="5"/>
    <n v="1978.61"/>
    <n v="0"/>
    <n v="9893.0499999999993"/>
    <n v="7418.13"/>
    <n v="2474.92"/>
  </r>
  <r>
    <s v="ORD1099"/>
    <x v="10"/>
    <s v="Webcam"/>
    <x v="2"/>
    <x v="1"/>
    <s v="Partner"/>
    <n v="5"/>
    <n v="1905.29"/>
    <n v="0.05"/>
    <n v="9050.1299999999992"/>
    <n v="5777.95"/>
    <n v="3272.18"/>
  </r>
  <r>
    <s v="ORD1082"/>
    <x v="11"/>
    <s v="USB Hub"/>
    <x v="1"/>
    <x v="3"/>
    <s v="Partner"/>
    <n v="5"/>
    <n v="893.45"/>
    <n v="0"/>
    <n v="4467.25"/>
    <n v="3343.81"/>
    <n v="1123.44"/>
  </r>
  <r>
    <s v="ORD1045"/>
    <x v="12"/>
    <s v="Laptop Stand"/>
    <x v="1"/>
    <x v="1"/>
    <s v="Partner"/>
    <n v="3"/>
    <n v="1224.23"/>
    <n v="0.1"/>
    <n v="3305.42"/>
    <n v="2739.6"/>
    <n v="565.82000000000005"/>
  </r>
  <r>
    <s v="ORD1049"/>
    <x v="12"/>
    <s v="Keyboard"/>
    <x v="1"/>
    <x v="0"/>
    <s v="Online"/>
    <n v="4"/>
    <n v="1638.09"/>
    <n v="0.05"/>
    <n v="6224.74"/>
    <n v="4245.62"/>
    <n v="1979.12"/>
  </r>
  <r>
    <s v="ORD1059"/>
    <x v="12"/>
    <s v="Wireless Mouse"/>
    <x v="1"/>
    <x v="2"/>
    <s v="Online"/>
    <n v="3"/>
    <n v="722.39"/>
    <n v="0.15"/>
    <n v="1842.09"/>
    <n v="1304.8599999999999"/>
    <n v="537.23"/>
  </r>
  <r>
    <s v="ORD1069"/>
    <x v="12"/>
    <s v="Headphones"/>
    <x v="3"/>
    <x v="1"/>
    <s v="Partner"/>
    <n v="5"/>
    <n v="2010.42"/>
    <n v="0.05"/>
    <n v="9549.5"/>
    <n v="6653.99"/>
    <n v="2895.51"/>
  </r>
  <r>
    <s v="ORD1052"/>
    <x v="13"/>
    <s v="USB Hub"/>
    <x v="1"/>
    <x v="0"/>
    <s v="Online"/>
    <n v="1"/>
    <n v="942.84"/>
    <n v="0.15"/>
    <n v="801.41"/>
    <n v="593.55999999999995"/>
    <n v="207.85"/>
  </r>
  <r>
    <s v="ORD1036"/>
    <x v="14"/>
    <s v="Wireless Mouse"/>
    <x v="1"/>
    <x v="2"/>
    <s v="Retail"/>
    <n v="4"/>
    <n v="750.27"/>
    <n v="0"/>
    <n v="3001.08"/>
    <n v="2296.9499999999998"/>
    <n v="704.13"/>
  </r>
  <r>
    <s v="ORD1016"/>
    <x v="15"/>
    <s v="Laptop Stand"/>
    <x v="1"/>
    <x v="0"/>
    <s v="Online"/>
    <n v="2"/>
    <n v="1109.96"/>
    <n v="0"/>
    <n v="2219.92"/>
    <n v="1692.41"/>
    <n v="527.51"/>
  </r>
  <r>
    <s v="ORD1054"/>
    <x v="16"/>
    <s v="USB Hub"/>
    <x v="1"/>
    <x v="3"/>
    <s v="Retail"/>
    <n v="1"/>
    <n v="876.69"/>
    <n v="0.15"/>
    <n v="745.19"/>
    <n v="542.24"/>
    <n v="202.95"/>
  </r>
  <r>
    <s v="ORD1092"/>
    <x v="17"/>
    <s v="Headphones"/>
    <x v="3"/>
    <x v="0"/>
    <s v="Retail"/>
    <n v="1"/>
    <n v="2263.6999999999998"/>
    <n v="0.15"/>
    <n v="1924.14"/>
    <n v="1578.67"/>
    <n v="345.47"/>
  </r>
  <r>
    <s v="ORD1004"/>
    <x v="17"/>
    <s v="USB Hub"/>
    <x v="1"/>
    <x v="0"/>
    <s v="Retail"/>
    <n v="3"/>
    <n v="880.55"/>
    <n v="0.05"/>
    <n v="2509.5700000000002"/>
    <n v="1580.7"/>
    <n v="928.87"/>
  </r>
  <r>
    <s v="ORD1028"/>
    <x v="18"/>
    <s v="Keyboard"/>
    <x v="1"/>
    <x v="0"/>
    <s v="Online"/>
    <n v="5"/>
    <n v="1580.5"/>
    <n v="0"/>
    <n v="7902.5"/>
    <n v="5564.78"/>
    <n v="2337.7199999999998"/>
  </r>
  <r>
    <s v="ORD1057"/>
    <x v="19"/>
    <s v="USB Hub"/>
    <x v="1"/>
    <x v="2"/>
    <s v="Partner"/>
    <n v="5"/>
    <n v="895.03"/>
    <n v="0.1"/>
    <n v="4027.63"/>
    <n v="2998.27"/>
    <n v="1029.3599999999999"/>
  </r>
  <r>
    <s v="ORD1098"/>
    <x v="20"/>
    <s v="Webcam"/>
    <x v="2"/>
    <x v="2"/>
    <s v="Retail"/>
    <n v="3"/>
    <n v="1755.68"/>
    <n v="0.05"/>
    <n v="5003.6899999999996"/>
    <n v="3979.54"/>
    <n v="1024.1500000000001"/>
  </r>
  <r>
    <s v="ORD1035"/>
    <x v="20"/>
    <s v="Desk Lamp"/>
    <x v="0"/>
    <x v="1"/>
    <s v="Online"/>
    <n v="4"/>
    <n v="1136.77"/>
    <n v="0"/>
    <n v="4547.08"/>
    <n v="3442.92"/>
    <n v="1104.1600000000001"/>
  </r>
  <r>
    <s v="ORD1064"/>
    <x v="21"/>
    <s v="Wireless Mouse"/>
    <x v="1"/>
    <x v="2"/>
    <s v="Online"/>
    <n v="4"/>
    <n v="664.32"/>
    <n v="0.15"/>
    <n v="2258.69"/>
    <n v="1829.84"/>
    <n v="428.85"/>
  </r>
  <r>
    <s v="ORD1089"/>
    <x v="21"/>
    <s v="Keyboard"/>
    <x v="1"/>
    <x v="1"/>
    <s v="Retail"/>
    <n v="1"/>
    <n v="1513.95"/>
    <n v="0.05"/>
    <n v="1438.25"/>
    <n v="982.02"/>
    <n v="456.23"/>
  </r>
  <r>
    <s v="ORD1060"/>
    <x v="22"/>
    <s v="Desk Lamp"/>
    <x v="0"/>
    <x v="1"/>
    <s v="Retail"/>
    <n v="3"/>
    <n v="1196.56"/>
    <n v="0.1"/>
    <n v="3230.71"/>
    <n v="2508"/>
    <n v="722.71"/>
  </r>
  <r>
    <s v="ORD1008"/>
    <x v="23"/>
    <s v="Webcam"/>
    <x v="2"/>
    <x v="3"/>
    <s v="Retail"/>
    <n v="5"/>
    <n v="1762.62"/>
    <n v="0.1"/>
    <n v="7931.79"/>
    <n v="6795.82"/>
    <n v="1135.97"/>
  </r>
  <r>
    <s v="ORD1083"/>
    <x v="24"/>
    <s v="Webcam"/>
    <x v="2"/>
    <x v="4"/>
    <s v="Retail"/>
    <n v="5"/>
    <n v="1740.97"/>
    <n v="0.1"/>
    <n v="7834.37"/>
    <n v="5303.03"/>
    <n v="2531.34"/>
  </r>
  <r>
    <s v="ORD1024"/>
    <x v="24"/>
    <s v="Webcam"/>
    <x v="2"/>
    <x v="4"/>
    <s v="Partner"/>
    <n v="1"/>
    <n v="1897.58"/>
    <n v="0"/>
    <n v="1897.58"/>
    <n v="1466.63"/>
    <n v="430.95"/>
  </r>
  <r>
    <s v="ORD1040"/>
    <x v="25"/>
    <s v="USB Hub"/>
    <x v="1"/>
    <x v="1"/>
    <s v="Retail"/>
    <n v="2"/>
    <n v="926.04"/>
    <n v="0.15"/>
    <n v="1574.27"/>
    <n v="1116.02"/>
    <n v="458.25"/>
  </r>
  <r>
    <s v="ORD1077"/>
    <x v="26"/>
    <s v="Headphones"/>
    <x v="3"/>
    <x v="3"/>
    <s v="Retail"/>
    <n v="5"/>
    <n v="2245.6999999999998"/>
    <n v="0.15"/>
    <n v="9544.23"/>
    <n v="7481.87"/>
    <n v="2062.36"/>
  </r>
  <r>
    <s v="ORD1068"/>
    <x v="26"/>
    <s v="Webcam"/>
    <x v="2"/>
    <x v="0"/>
    <s v="Online"/>
    <n v="2"/>
    <n v="1838.2"/>
    <n v="0.1"/>
    <n v="3308.76"/>
    <n v="2251.69"/>
    <n v="1057.07"/>
  </r>
  <r>
    <s v="ORD1051"/>
    <x v="26"/>
    <s v="Laptop Stand"/>
    <x v="1"/>
    <x v="2"/>
    <s v="Retail"/>
    <n v="4"/>
    <n v="1169.24"/>
    <n v="0.05"/>
    <n v="4443.1099999999997"/>
    <n v="3347.48"/>
    <n v="1095.6300000000001"/>
  </r>
  <r>
    <s v="ORD1061"/>
    <x v="26"/>
    <s v="Monitor"/>
    <x v="2"/>
    <x v="4"/>
    <s v="Retail"/>
    <n v="2"/>
    <n v="11840.29"/>
    <n v="0"/>
    <n v="23680.58"/>
    <n v="13113.82"/>
    <n v="10566.76"/>
  </r>
  <r>
    <s v="ORD1081"/>
    <x v="27"/>
    <s v="USB Hub"/>
    <x v="1"/>
    <x v="1"/>
    <s v="Partner"/>
    <n v="3"/>
    <n v="845.44"/>
    <n v="0.15"/>
    <n v="2155.87"/>
    <n v="1731.73"/>
    <n v="424.14"/>
  </r>
  <r>
    <s v="ORD1007"/>
    <x v="27"/>
    <s v="USB Hub"/>
    <x v="1"/>
    <x v="1"/>
    <s v="Retail"/>
    <n v="3"/>
    <n v="925.36"/>
    <n v="0.05"/>
    <n v="2637.28"/>
    <n v="1834.66"/>
    <n v="802.62"/>
  </r>
  <r>
    <s v="ORD1029"/>
    <x v="27"/>
    <s v="Desk Lamp"/>
    <x v="0"/>
    <x v="2"/>
    <s v="Retail"/>
    <n v="3"/>
    <n v="1138.1400000000001"/>
    <n v="0.1"/>
    <n v="3072.98"/>
    <n v="2120.2800000000002"/>
    <n v="952.7"/>
  </r>
  <r>
    <s v="ORD1027"/>
    <x v="28"/>
    <s v="Headphones"/>
    <x v="3"/>
    <x v="2"/>
    <s v="Online"/>
    <n v="3"/>
    <n v="2112.1999999999998"/>
    <n v="0.05"/>
    <n v="6019.77"/>
    <n v="4329.55"/>
    <n v="1690.22"/>
  </r>
  <r>
    <s v="ORD1055"/>
    <x v="29"/>
    <s v="Wireless Mouse"/>
    <x v="1"/>
    <x v="0"/>
    <s v="Partner"/>
    <n v="1"/>
    <n v="643.53"/>
    <n v="0.05"/>
    <n v="611.35"/>
    <n v="430.06"/>
    <n v="181.29"/>
  </r>
  <r>
    <s v="ORD1023"/>
    <x v="29"/>
    <s v="Laptop Stand"/>
    <x v="1"/>
    <x v="1"/>
    <s v="Retail"/>
    <n v="4"/>
    <n v="1172.2"/>
    <n v="0.05"/>
    <n v="4454.3599999999997"/>
    <n v="2837.66"/>
    <n v="1616.7"/>
  </r>
  <r>
    <s v="ORD1095"/>
    <x v="30"/>
    <s v="Wireless Mouse"/>
    <x v="1"/>
    <x v="2"/>
    <s v="Online"/>
    <n v="2"/>
    <n v="675.37"/>
    <n v="0.05"/>
    <n v="1283.2"/>
    <n v="953.68"/>
    <n v="329.52"/>
  </r>
  <r>
    <s v="ORD1021"/>
    <x v="31"/>
    <s v="Headphones"/>
    <x v="3"/>
    <x v="3"/>
    <s v="Online"/>
    <n v="5"/>
    <n v="2238.41"/>
    <n v="0.1"/>
    <n v="10072.84"/>
    <n v="8047.93"/>
    <n v="2024.91"/>
  </r>
  <r>
    <s v="ORD1039"/>
    <x v="31"/>
    <s v="USB Hub"/>
    <x v="1"/>
    <x v="0"/>
    <s v="Partner"/>
    <n v="5"/>
    <n v="856.36"/>
    <n v="0"/>
    <n v="4281.8"/>
    <n v="2801.69"/>
    <n v="1480.11"/>
  </r>
  <r>
    <s v="ORD1070"/>
    <x v="32"/>
    <s v="USB Hub"/>
    <x v="1"/>
    <x v="2"/>
    <s v="Partner"/>
    <n v="3"/>
    <n v="828.33"/>
    <n v="0"/>
    <n v="2484.9899999999998"/>
    <n v="1800.94"/>
    <n v="684.05"/>
  </r>
  <r>
    <s v="ORD1067"/>
    <x v="33"/>
    <s v="Wireless Mouse"/>
    <x v="1"/>
    <x v="0"/>
    <s v="Online"/>
    <n v="5"/>
    <n v="695.43"/>
    <n v="0.15"/>
    <n v="2955.58"/>
    <n v="2530.5100000000002"/>
    <n v="425.07"/>
  </r>
  <r>
    <s v="ORD1050"/>
    <x v="34"/>
    <s v="Keyboard"/>
    <x v="1"/>
    <x v="0"/>
    <s v="Retail"/>
    <n v="5"/>
    <n v="1456.71"/>
    <n v="0.15"/>
    <n v="6191.02"/>
    <n v="4823.3599999999997"/>
    <n v="1367.66"/>
  </r>
  <r>
    <s v="ORD1011"/>
    <x v="34"/>
    <s v="USB Hub"/>
    <x v="1"/>
    <x v="3"/>
    <s v="Retail"/>
    <n v="3"/>
    <n v="890.04"/>
    <n v="0"/>
    <n v="2670.12"/>
    <n v="1813.51"/>
    <n v="856.61"/>
  </r>
  <r>
    <s v="ORD1022"/>
    <x v="35"/>
    <s v="Headphones"/>
    <x v="3"/>
    <x v="1"/>
    <s v="Online"/>
    <n v="3"/>
    <n v="2216.0300000000002"/>
    <n v="0.15"/>
    <n v="5650.88"/>
    <n v="4900.91"/>
    <n v="749.97"/>
  </r>
  <r>
    <s v="ORD1025"/>
    <x v="36"/>
    <s v="Desk Lamp"/>
    <x v="0"/>
    <x v="2"/>
    <s v="Online"/>
    <n v="4"/>
    <n v="1195.79"/>
    <n v="0.1"/>
    <n v="4304.84"/>
    <n v="3354.89"/>
    <n v="949.95"/>
  </r>
  <r>
    <s v="ORD1015"/>
    <x v="37"/>
    <s v="Desk Lamp"/>
    <x v="0"/>
    <x v="1"/>
    <s v="Retail"/>
    <n v="3"/>
    <n v="1042.24"/>
    <n v="0"/>
    <n v="3126.72"/>
    <n v="1989.51"/>
    <n v="1137.21"/>
  </r>
  <r>
    <s v="ORD1079"/>
    <x v="38"/>
    <s v="Keyboard"/>
    <x v="1"/>
    <x v="1"/>
    <s v="Online"/>
    <n v="2"/>
    <n v="1553.45"/>
    <n v="0.05"/>
    <n v="2951.55"/>
    <n v="2211.88"/>
    <n v="739.67"/>
  </r>
  <r>
    <s v="ORD1019"/>
    <x v="39"/>
    <s v="Webcam"/>
    <x v="2"/>
    <x v="0"/>
    <s v="Online"/>
    <n v="2"/>
    <n v="1959.39"/>
    <n v="0.15"/>
    <n v="3330.96"/>
    <n v="2677.86"/>
    <n v="653.1"/>
  </r>
  <r>
    <s v="ORD1062"/>
    <x v="40"/>
    <s v="Desk Lamp"/>
    <x v="0"/>
    <x v="4"/>
    <s v="Partner"/>
    <n v="4"/>
    <n v="1007.55"/>
    <n v="0.15"/>
    <n v="3425.67"/>
    <n v="2671.91"/>
    <n v="753.76"/>
  </r>
  <r>
    <s v="ORD1002"/>
    <x v="41"/>
    <s v="USB Hub"/>
    <x v="1"/>
    <x v="0"/>
    <s v="Online"/>
    <n v="2"/>
    <n v="836.53"/>
    <n v="0"/>
    <n v="1673.06"/>
    <n v="1174.99"/>
    <n v="498.07"/>
  </r>
  <r>
    <s v="ORD1003"/>
    <x v="41"/>
    <s v="Desk Lamp"/>
    <x v="0"/>
    <x v="2"/>
    <s v="Retail"/>
    <n v="5"/>
    <n v="1080.77"/>
    <n v="0"/>
    <n v="5403.85"/>
    <n v="3118.96"/>
    <n v="2284.89"/>
  </r>
  <r>
    <s v="ORD1048"/>
    <x v="42"/>
    <s v="Webcam"/>
    <x v="2"/>
    <x v="4"/>
    <s v="Online"/>
    <n v="5"/>
    <n v="1971.11"/>
    <n v="0.1"/>
    <n v="8869.99"/>
    <n v="7116.97"/>
    <n v="1753.02"/>
  </r>
  <r>
    <s v="ORD1072"/>
    <x v="43"/>
    <s v="Wireless Mouse"/>
    <x v="1"/>
    <x v="1"/>
    <s v="Retail"/>
    <n v="1"/>
    <n v="639"/>
    <n v="0.05"/>
    <n v="607.04999999999995"/>
    <n v="398.84"/>
    <n v="208.21"/>
  </r>
  <r>
    <s v="ORD1078"/>
    <x v="43"/>
    <s v="Laptop Stand"/>
    <x v="1"/>
    <x v="0"/>
    <s v="Online"/>
    <n v="2"/>
    <n v="1166.54"/>
    <n v="0.05"/>
    <n v="2216.4299999999998"/>
    <n v="1720.6"/>
    <n v="495.83"/>
  </r>
  <r>
    <s v="ORD1100"/>
    <x v="44"/>
    <s v="Headphones"/>
    <x v="3"/>
    <x v="3"/>
    <s v="Retail"/>
    <n v="3"/>
    <n v="2201.79"/>
    <n v="0.1"/>
    <n v="5944.83"/>
    <n v="4440.37"/>
    <n v="1504.46"/>
  </r>
  <r>
    <s v="ORD1076"/>
    <x v="45"/>
    <s v="Wireless Mouse"/>
    <x v="1"/>
    <x v="1"/>
    <s v="Retail"/>
    <n v="5"/>
    <n v="684.92"/>
    <n v="0.1"/>
    <n v="3082.14"/>
    <n v="1948.25"/>
    <n v="1133.8900000000001"/>
  </r>
  <r>
    <s v="ORD1005"/>
    <x v="46"/>
    <s v="Laptop Stand"/>
    <x v="1"/>
    <x v="0"/>
    <s v="Retail"/>
    <n v="1"/>
    <n v="1281.28"/>
    <n v="0.1"/>
    <n v="1153.1500000000001"/>
    <n v="744.41"/>
    <n v="408.74"/>
  </r>
  <r>
    <s v="ORD1084"/>
    <x v="46"/>
    <s v="Laptop Stand"/>
    <x v="1"/>
    <x v="4"/>
    <s v="Retail"/>
    <n v="5"/>
    <n v="1277.19"/>
    <n v="0.05"/>
    <n v="6066.65"/>
    <n v="4975.3"/>
    <n v="1091.3499999999999"/>
  </r>
  <r>
    <s v="ORD1093"/>
    <x v="47"/>
    <s v="Keyboard"/>
    <x v="1"/>
    <x v="3"/>
    <s v="Retail"/>
    <n v="5"/>
    <n v="1611.48"/>
    <n v="0.1"/>
    <n v="7251.66"/>
    <n v="4807.8"/>
    <n v="2443.86"/>
  </r>
  <r>
    <s v="ORD1018"/>
    <x v="48"/>
    <s v="Desk Lamp"/>
    <x v="0"/>
    <x v="1"/>
    <s v="Online"/>
    <n v="3"/>
    <n v="1147.74"/>
    <n v="0.15"/>
    <n v="2926.74"/>
    <n v="2151.91"/>
    <n v="774.83"/>
  </r>
  <r>
    <s v="ORD1037"/>
    <x v="49"/>
    <s v="Monitor"/>
    <x v="2"/>
    <x v="2"/>
    <s v="Online"/>
    <n v="2"/>
    <n v="11803.18"/>
    <n v="0"/>
    <n v="23606.36"/>
    <n v="16698.150000000001"/>
    <n v="6908.21"/>
  </r>
  <r>
    <s v="ORD1088"/>
    <x v="49"/>
    <s v="Wireless Mouse"/>
    <x v="1"/>
    <x v="2"/>
    <s v="Partner"/>
    <n v="2"/>
    <n v="683.81"/>
    <n v="0.15"/>
    <n v="1162.48"/>
    <n v="931.61"/>
    <n v="230.87"/>
  </r>
  <r>
    <s v="ORD1014"/>
    <x v="50"/>
    <s v="Laptop Stand"/>
    <x v="1"/>
    <x v="3"/>
    <s v="Retail"/>
    <n v="1"/>
    <n v="1196.5"/>
    <n v="0.15"/>
    <n v="1017.02"/>
    <n v="925.88"/>
    <n v="91.14"/>
  </r>
  <r>
    <s v="ORD1030"/>
    <x v="51"/>
    <s v="USB Hub"/>
    <x v="1"/>
    <x v="4"/>
    <s v="Online"/>
    <n v="5"/>
    <n v="969.57"/>
    <n v="0.15"/>
    <n v="4120.67"/>
    <n v="2720.15"/>
    <n v="1400.52"/>
  </r>
  <r>
    <s v="ORD1090"/>
    <x v="52"/>
    <s v="Laptop Stand"/>
    <x v="1"/>
    <x v="1"/>
    <s v="Partner"/>
    <n v="5"/>
    <n v="1147.4000000000001"/>
    <n v="0.05"/>
    <n v="5450.15"/>
    <n v="4314.24"/>
    <n v="1135.9100000000001"/>
  </r>
  <r>
    <s v="ORD1065"/>
    <x v="52"/>
    <s v="Desk Lamp"/>
    <x v="0"/>
    <x v="1"/>
    <s v="Retail"/>
    <n v="2"/>
    <n v="1018.11"/>
    <n v="0.1"/>
    <n v="1832.6"/>
    <n v="1280.21"/>
    <n v="552.39"/>
  </r>
  <r>
    <s v="ORD1066"/>
    <x v="53"/>
    <s v="Wireless Mouse"/>
    <x v="1"/>
    <x v="4"/>
    <s v="Online"/>
    <n v="1"/>
    <n v="755.99"/>
    <n v="0.15"/>
    <n v="642.59"/>
    <n v="423.23"/>
    <n v="219.36"/>
  </r>
  <r>
    <s v="ORD1075"/>
    <x v="54"/>
    <s v="Webcam"/>
    <x v="2"/>
    <x v="2"/>
    <s v="Online"/>
    <n v="5"/>
    <n v="1806.88"/>
    <n v="0.05"/>
    <n v="8582.68"/>
    <n v="5276.74"/>
    <n v="3305.94"/>
  </r>
  <r>
    <s v="ORD1086"/>
    <x v="54"/>
    <s v="Laptop Stand"/>
    <x v="1"/>
    <x v="2"/>
    <s v="Partner"/>
    <n v="1"/>
    <n v="1222.95"/>
    <n v="0.1"/>
    <n v="1100.6500000000001"/>
    <n v="734.07"/>
    <n v="366.58"/>
  </r>
  <r>
    <s v="ORD1031"/>
    <x v="55"/>
    <s v="USB Hub"/>
    <x v="1"/>
    <x v="1"/>
    <s v="Retail"/>
    <n v="1"/>
    <n v="962.65"/>
    <n v="0.15"/>
    <n v="818.25"/>
    <n v="680.92"/>
    <n v="137.33000000000001"/>
  </r>
  <r>
    <s v="ORD1091"/>
    <x v="56"/>
    <s v="Wireless Mouse"/>
    <x v="1"/>
    <x v="1"/>
    <s v="Partner"/>
    <n v="3"/>
    <n v="686.32"/>
    <n v="0.05"/>
    <n v="1956.01"/>
    <n v="1436.72"/>
    <n v="519.29"/>
  </r>
  <r>
    <s v="ORD1053"/>
    <x v="57"/>
    <s v="Headphones"/>
    <x v="3"/>
    <x v="1"/>
    <s v="Partner"/>
    <n v="2"/>
    <n v="2008.62"/>
    <n v="0"/>
    <n v="4017.24"/>
    <n v="2959.16"/>
    <n v="1058.08"/>
  </r>
  <r>
    <s v="ORD1033"/>
    <x v="58"/>
    <s v="Laptop Stand"/>
    <x v="1"/>
    <x v="0"/>
    <s v="Partner"/>
    <n v="3"/>
    <n v="1155.03"/>
    <n v="0"/>
    <n v="3465.09"/>
    <n v="2650.58"/>
    <n v="814.51"/>
  </r>
  <r>
    <s v="ORD1047"/>
    <x v="58"/>
    <s v="Keyboard"/>
    <x v="1"/>
    <x v="4"/>
    <s v="Retail"/>
    <n v="3"/>
    <n v="1392.07"/>
    <n v="0.1"/>
    <n v="3758.59"/>
    <n v="3052.7"/>
    <n v="705.89"/>
  </r>
  <r>
    <s v="ORD1043"/>
    <x v="59"/>
    <s v="Headphones"/>
    <x v="3"/>
    <x v="3"/>
    <s v="Partner"/>
    <n v="3"/>
    <n v="2272.4299999999998"/>
    <n v="0.15"/>
    <n v="5794.7"/>
    <n v="4427.04"/>
    <n v="1367.66"/>
  </r>
  <r>
    <s v="ORD1094"/>
    <x v="60"/>
    <s v="Laptop Stand"/>
    <x v="1"/>
    <x v="1"/>
    <s v="Partner"/>
    <n v="4"/>
    <n v="1202.52"/>
    <n v="0.1"/>
    <n v="4329.07"/>
    <n v="2847.02"/>
    <n v="1482.05"/>
  </r>
  <r>
    <s v="ORD1017"/>
    <x v="61"/>
    <s v="Headphones"/>
    <x v="3"/>
    <x v="0"/>
    <s v="Partner"/>
    <n v="2"/>
    <n v="2223.98"/>
    <n v="0.15"/>
    <n v="3780.77"/>
    <n v="2678.54"/>
    <n v="1102.23"/>
  </r>
  <r>
    <s v="ORD1080"/>
    <x v="61"/>
    <s v="Headphones"/>
    <x v="3"/>
    <x v="4"/>
    <s v="Partner"/>
    <n v="3"/>
    <n v="2154.87"/>
    <n v="0.1"/>
    <n v="5818.15"/>
    <n v="4759.8999999999996"/>
    <n v="1058.25"/>
  </r>
  <r>
    <s v="ORD1020"/>
    <x v="62"/>
    <s v="Wireless Mouse"/>
    <x v="1"/>
    <x v="1"/>
    <s v="Online"/>
    <n v="4"/>
    <n v="659.07"/>
    <n v="0.05"/>
    <n v="2504.4699999999998"/>
    <n v="1680.79"/>
    <n v="823.68"/>
  </r>
  <r>
    <s v="ORD1034"/>
    <x v="63"/>
    <s v="Desk Lamp"/>
    <x v="0"/>
    <x v="2"/>
    <s v="Retail"/>
    <n v="5"/>
    <n v="1021.1"/>
    <n v="0"/>
    <n v="5105.5"/>
    <n v="3387.51"/>
    <n v="1717.99"/>
  </r>
  <r>
    <s v="ORD1071"/>
    <x v="64"/>
    <s v="Laptop Stand"/>
    <x v="1"/>
    <x v="3"/>
    <s v="Retail"/>
    <n v="1"/>
    <n v="1087.8699999999999"/>
    <n v="0.05"/>
    <n v="1033.48"/>
    <n v="636.73"/>
    <n v="396.75"/>
  </r>
  <r>
    <s v="ORD1058"/>
    <x v="65"/>
    <s v="Keyboard"/>
    <x v="1"/>
    <x v="4"/>
    <s v="Online"/>
    <n v="3"/>
    <n v="1563.36"/>
    <n v="0.05"/>
    <n v="4455.58"/>
    <n v="3575.88"/>
    <n v="879.7"/>
  </r>
  <r>
    <s v="ORD1074"/>
    <x v="66"/>
    <s v="Desk Lamp"/>
    <x v="0"/>
    <x v="3"/>
    <s v="Online"/>
    <n v="2"/>
    <n v="1133.5899999999999"/>
    <n v="0.05"/>
    <n v="2153.8200000000002"/>
    <n v="1540.99"/>
    <n v="612.83000000000004"/>
  </r>
  <r>
    <s v="ORD1038"/>
    <x v="66"/>
    <s v="Monitor"/>
    <x v="2"/>
    <x v="4"/>
    <s v="Retail"/>
    <n v="4"/>
    <n v="12604.3"/>
    <n v="0.05"/>
    <n v="47896.34"/>
    <n v="37198.68"/>
    <n v="10697.66"/>
  </r>
  <r>
    <s v="ORD1009"/>
    <x v="67"/>
    <s v="Keyboard"/>
    <x v="1"/>
    <x v="0"/>
    <s v="Online"/>
    <n v="5"/>
    <n v="1537.13"/>
    <n v="0.1"/>
    <n v="6917.09"/>
    <n v="4392.43"/>
    <n v="2524.66"/>
  </r>
  <r>
    <s v="ORD1087"/>
    <x v="68"/>
    <s v="Desk Lamp"/>
    <x v="0"/>
    <x v="3"/>
    <s v="Online"/>
    <n v="4"/>
    <n v="1124.7"/>
    <n v="0.05"/>
    <n v="4273.8599999999997"/>
    <n v="2583.7800000000002"/>
    <n v="1690.08"/>
  </r>
  <r>
    <s v="ORD1041"/>
    <x v="69"/>
    <s v="Monitor"/>
    <x v="2"/>
    <x v="2"/>
    <s v="Retail"/>
    <n v="3"/>
    <n v="12801.76"/>
    <n v="0.15"/>
    <n v="32644.49"/>
    <n v="28372.86"/>
    <n v="4271.63"/>
  </r>
  <r>
    <s v="ORD1010"/>
    <x v="69"/>
    <s v="Webcam"/>
    <x v="2"/>
    <x v="0"/>
    <s v="Online"/>
    <n v="1"/>
    <n v="1861.05"/>
    <n v="0.1"/>
    <n v="1674.94"/>
    <n v="1413.14"/>
    <n v="261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90B47-6EA8-4538-B9A4-0F27A7EA123C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6:B41" firstHeaderRow="1" firstDataRow="1" firstDataCol="1"/>
  <pivotFields count="14">
    <pivotField showAll="0"/>
    <pivotField axis="axisRow" numFmtId="165" showAll="0">
      <items count="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showAll="0"/>
    <pivotField showAll="0">
      <items count="5">
        <item x="1"/>
        <item x="3"/>
        <item x="2"/>
        <item x="0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  <pivotField showAll="0"/>
    <pivotField showAll="0"/>
    <pivotField numFmtId="166" showAll="0"/>
    <pivotField numFmtId="9" showAll="0"/>
    <pivotField dataField="1" numFmtId="166" showAll="0"/>
    <pivotField numFmtId="166" showAll="0"/>
    <pivotField numFmtId="166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3"/>
    <field x="12"/>
    <field x="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_INR" fld="9" baseField="0" baseItem="0" numFmtId="166"/>
  </dataFields>
  <chartFormats count="6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023623-AB6F-4A6F-943E-F8A1A627B5EF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21:B26" firstHeaderRow="1" firstDataRow="1" firstDataCol="1"/>
  <pivotFields count="14">
    <pivotField showAll="0"/>
    <pivotField numFmtId="165" showAll="0">
      <items count="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showAll="0"/>
    <pivotField axis="axisRow" showAll="0">
      <items count="5">
        <item x="1"/>
        <item x="3"/>
        <item x="2"/>
        <item x="0"/>
        <item t="default"/>
      </items>
    </pivotField>
    <pivotField showAll="0">
      <items count="6">
        <item x="4"/>
        <item x="1"/>
        <item x="3"/>
        <item x="0"/>
        <item x="2"/>
        <item t="default"/>
      </items>
    </pivotField>
    <pivotField showAll="0"/>
    <pivotField showAll="0"/>
    <pivotField numFmtId="166" showAll="0"/>
    <pivotField numFmtId="9" showAll="0"/>
    <pivotField dataField="1" numFmtId="166" showAll="0"/>
    <pivotField numFmtId="166" showAll="0"/>
    <pivotField numFmtId="166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_INR" fld="9" baseField="0" baseItem="0" numFmtId="166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46876-F539-4817-9DED-BFB8E66D72B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14">
    <pivotField showAll="0"/>
    <pivotField numFmtId="165" showAll="0">
      <items count="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showAll="0"/>
    <pivotField showAll="0"/>
    <pivotField axis="axisRow" showAll="0">
      <items count="6">
        <item x="4"/>
        <item x="1"/>
        <item x="3"/>
        <item x="0"/>
        <item x="2"/>
        <item t="default"/>
      </items>
    </pivotField>
    <pivotField showAll="0"/>
    <pivotField showAll="0"/>
    <pivotField numFmtId="166" showAll="0"/>
    <pivotField numFmtId="9" showAll="0"/>
    <pivotField dataField="1" numFmtId="166" showAll="0"/>
    <pivotField numFmtId="166" showAll="0"/>
    <pivotField numFmtId="166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_INR" fld="9" baseField="0" baseItem="0" numFmtId="166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03A43E-F6D7-4AD5-B7B2-FC9B441F2D75}" name="Sales_data" displayName="Sales_data" ref="A1:L101" totalsRowShown="0" headerRowDxfId="0" headerRowBorderDxfId="7" tableBorderDxfId="8">
  <autoFilter ref="A1:L101" xr:uid="{00000000-0009-0000-0000-000000000000}"/>
  <tableColumns count="12">
    <tableColumn id="1" xr3:uid="{71FBED50-9382-4712-8668-5F2C05DC79CA}" name="Order_ID"/>
    <tableColumn id="2" xr3:uid="{98654BDC-3E69-4EA5-A388-C9F9F6414E1E}" name="Order_Date" dataDxfId="6"/>
    <tableColumn id="3" xr3:uid="{1712215A-F293-4551-96C0-87FEEC6D8285}" name="Product"/>
    <tableColumn id="4" xr3:uid="{7D0DAE6E-0199-4BF1-B49A-2CC0A3753C58}" name="Category"/>
    <tableColumn id="5" xr3:uid="{30695B4E-8BF5-4AA9-A196-34ED4F153366}" name="Region"/>
    <tableColumn id="6" xr3:uid="{E793312C-F139-4F28-B0C5-A847923FF989}" name="Sales_Channel"/>
    <tableColumn id="7" xr3:uid="{1506BEA8-CDCC-47F1-8644-8924C05E6E68}" name="Quantity"/>
    <tableColumn id="8" xr3:uid="{14887D30-53B2-4CDC-B297-EEBFE4FD27BD}" name="Unit_Price_INR" dataDxfId="5"/>
    <tableColumn id="9" xr3:uid="{DF727E86-0791-4C2D-8DE8-B947BAE71749}" name="Discount_Rate" dataDxfId="4"/>
    <tableColumn id="10" xr3:uid="{3D564737-D4A1-4E63-9F31-EB0F84A38FCD}" name="Revenue_INR" dataDxfId="3"/>
    <tableColumn id="11" xr3:uid="{A4D5A3ED-4DB1-4C36-A155-56E0A7905266}" name="Cost_INR" dataDxfId="2"/>
    <tableColumn id="12" xr3:uid="{F6D8F95D-2ECA-44AD-91FB-60167818299B}" name="Profit_INR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896F-D494-4672-8F61-859E434B7B65}">
  <dimension ref="A3:B41"/>
  <sheetViews>
    <sheetView topLeftCell="A28" zoomScale="95" workbookViewId="0">
      <selection activeCell="O24" sqref="O24"/>
    </sheetView>
  </sheetViews>
  <sheetFormatPr defaultRowHeight="14.5" x14ac:dyDescent="0.35"/>
  <cols>
    <col min="1" max="1" width="12.6328125" bestFit="1" customWidth="1"/>
    <col min="2" max="2" width="18.7265625" bestFit="1" customWidth="1"/>
  </cols>
  <sheetData>
    <row r="3" spans="1:2" x14ac:dyDescent="0.35">
      <c r="A3" s="7" t="s">
        <v>139</v>
      </c>
      <c r="B3" t="s">
        <v>141</v>
      </c>
    </row>
    <row r="4" spans="1:2" x14ac:dyDescent="0.35">
      <c r="A4" s="8" t="s">
        <v>32</v>
      </c>
      <c r="B4" s="2">
        <v>125477.27999999998</v>
      </c>
    </row>
    <row r="5" spans="1:2" x14ac:dyDescent="0.35">
      <c r="A5" s="8" t="s">
        <v>20</v>
      </c>
      <c r="B5" s="2">
        <v>83597.48000000001</v>
      </c>
    </row>
    <row r="6" spans="1:2" x14ac:dyDescent="0.35">
      <c r="A6" s="8" t="s">
        <v>29</v>
      </c>
      <c r="B6" s="2">
        <v>69314.209999999992</v>
      </c>
    </row>
    <row r="7" spans="1:2" x14ac:dyDescent="0.35">
      <c r="A7" s="8" t="s">
        <v>15</v>
      </c>
      <c r="B7" s="2">
        <v>72749.410000000018</v>
      </c>
    </row>
    <row r="8" spans="1:2" x14ac:dyDescent="0.35">
      <c r="A8" s="8" t="s">
        <v>24</v>
      </c>
      <c r="B8" s="2">
        <v>146364.53999999998</v>
      </c>
    </row>
    <row r="9" spans="1:2" x14ac:dyDescent="0.35">
      <c r="A9" s="8" t="s">
        <v>140</v>
      </c>
      <c r="B9" s="2">
        <v>497502.92</v>
      </c>
    </row>
    <row r="21" spans="1:2" x14ac:dyDescent="0.35">
      <c r="A21" s="7" t="s">
        <v>139</v>
      </c>
      <c r="B21" t="s">
        <v>141</v>
      </c>
    </row>
    <row r="22" spans="1:2" x14ac:dyDescent="0.35">
      <c r="A22" s="8" t="s">
        <v>19</v>
      </c>
      <c r="B22" s="2">
        <v>158808.03999999998</v>
      </c>
    </row>
    <row r="23" spans="1:2" x14ac:dyDescent="0.35">
      <c r="A23" s="8" t="s">
        <v>39</v>
      </c>
      <c r="B23" s="2">
        <v>74548.029999999984</v>
      </c>
    </row>
    <row r="24" spans="1:2" x14ac:dyDescent="0.35">
      <c r="A24" s="8" t="s">
        <v>28</v>
      </c>
      <c r="B24" s="2">
        <v>212612.61000000002</v>
      </c>
    </row>
    <row r="25" spans="1:2" x14ac:dyDescent="0.35">
      <c r="A25" s="8" t="s">
        <v>14</v>
      </c>
      <c r="B25" s="2">
        <v>51534.239999999998</v>
      </c>
    </row>
    <row r="26" spans="1:2" x14ac:dyDescent="0.35">
      <c r="A26" s="8" t="s">
        <v>140</v>
      </c>
      <c r="B26" s="2">
        <v>497502.91999999993</v>
      </c>
    </row>
    <row r="36" spans="1:2" x14ac:dyDescent="0.35">
      <c r="A36" s="7" t="s">
        <v>139</v>
      </c>
      <c r="B36" t="s">
        <v>141</v>
      </c>
    </row>
    <row r="37" spans="1:2" x14ac:dyDescent="0.35">
      <c r="A37" s="8" t="s">
        <v>142</v>
      </c>
      <c r="B37" s="2">
        <v>109992.21</v>
      </c>
    </row>
    <row r="38" spans="1:2" x14ac:dyDescent="0.35">
      <c r="A38" s="8" t="s">
        <v>143</v>
      </c>
      <c r="B38" s="2">
        <v>129611.9</v>
      </c>
    </row>
    <row r="39" spans="1:2" x14ac:dyDescent="0.35">
      <c r="A39" s="8" t="s">
        <v>144</v>
      </c>
      <c r="B39" s="2">
        <v>115501.37</v>
      </c>
    </row>
    <row r="40" spans="1:2" x14ac:dyDescent="0.35">
      <c r="A40" s="8" t="s">
        <v>145</v>
      </c>
      <c r="B40" s="2">
        <v>142397.44</v>
      </c>
    </row>
    <row r="41" spans="1:2" x14ac:dyDescent="0.35">
      <c r="A41" s="8" t="s">
        <v>140</v>
      </c>
      <c r="B41" s="2">
        <v>497502.92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B3DAB-84D5-44FE-8147-3E91D5F7DF65}">
  <dimension ref="A1:T23"/>
  <sheetViews>
    <sheetView showGridLines="0" tabSelected="1" zoomScale="65" workbookViewId="0">
      <selection activeCell="U6" sqref="U6"/>
    </sheetView>
  </sheetViews>
  <sheetFormatPr defaultRowHeight="14.5" x14ac:dyDescent="0.35"/>
  <cols>
    <col min="1" max="1" width="11.7265625" bestFit="1" customWidth="1"/>
    <col min="3" max="3" width="11.7265625" bestFit="1" customWidth="1"/>
  </cols>
  <sheetData>
    <row r="1" spans="1:20" ht="25" x14ac:dyDescent="0.5">
      <c r="A1" s="11"/>
      <c r="B1" s="12"/>
      <c r="C1" s="13"/>
      <c r="D1" s="13"/>
      <c r="E1" s="13"/>
      <c r="F1" s="13"/>
      <c r="G1" s="13"/>
      <c r="H1" s="9" t="s">
        <v>146</v>
      </c>
      <c r="I1" s="10"/>
      <c r="J1" s="10"/>
      <c r="K1" s="10"/>
      <c r="L1" s="10"/>
      <c r="M1" s="10"/>
      <c r="N1" s="10"/>
      <c r="O1" s="10"/>
      <c r="P1" s="12"/>
      <c r="Q1" s="12"/>
      <c r="R1" s="12"/>
      <c r="S1" s="12"/>
      <c r="T1" s="12"/>
    </row>
    <row r="2" spans="1:20" x14ac:dyDescent="0.3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x14ac:dyDescent="0.3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spans="1:20" x14ac:dyDescent="0.35">
      <c r="A4" s="14" t="s">
        <v>147</v>
      </c>
      <c r="B4" s="12"/>
      <c r="C4" s="14" t="s">
        <v>148</v>
      </c>
      <c r="D4" s="12"/>
      <c r="E4" s="14" t="s">
        <v>149</v>
      </c>
      <c r="F4" s="12"/>
      <c r="G4" s="14" t="s">
        <v>150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x14ac:dyDescent="0.35">
      <c r="A5" s="15">
        <f>SUM(Sales_data[[#All],[Revenue_INR]])</f>
        <v>497502.92000000004</v>
      </c>
      <c r="B5" s="12"/>
      <c r="C5" s="15">
        <f>SUM(Sales_data[[#All],[Profit_INR]])</f>
        <v>130783.46000000006</v>
      </c>
      <c r="D5" s="12"/>
      <c r="E5" s="12">
        <f>SUM(Sales_data[[#All],[Quantity]])</f>
        <v>311</v>
      </c>
      <c r="F5" s="12"/>
      <c r="G5" s="12">
        <f>COUNTA(Sales_data[[#All],[Order_ID]])</f>
        <v>101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spans="1:20" x14ac:dyDescent="0.3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 spans="1:20" x14ac:dyDescent="0.3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 spans="1:20" x14ac:dyDescent="0.3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 spans="1:20" x14ac:dyDescent="0.3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 spans="1:20" x14ac:dyDescent="0.3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x14ac:dyDescent="0.3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spans="1:20" x14ac:dyDescent="0.3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0" x14ac:dyDescent="0.3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spans="1:20" x14ac:dyDescent="0.3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spans="1:20" x14ac:dyDescent="0.3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spans="1:20" x14ac:dyDescent="0.3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1:20" x14ac:dyDescent="0.3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spans="1:20" x14ac:dyDescent="0.3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 spans="1:20" x14ac:dyDescent="0.3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spans="1:20" x14ac:dyDescent="0.3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1:20" x14ac:dyDescent="0.3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1:20" x14ac:dyDescent="0.3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 x14ac:dyDescent="0.3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workbookViewId="0">
      <pane ySplit="1" topLeftCell="A84" activePane="bottomLeft" state="frozen"/>
      <selection pane="bottomLeft" activeCell="A2" sqref="A2"/>
    </sheetView>
  </sheetViews>
  <sheetFormatPr defaultRowHeight="14.5" x14ac:dyDescent="0.35"/>
  <cols>
    <col min="1" max="1" width="12" customWidth="1"/>
    <col min="2" max="2" width="12.7265625" customWidth="1"/>
    <col min="3" max="3" width="16" customWidth="1"/>
    <col min="4" max="4" width="13" customWidth="1"/>
    <col min="5" max="5" width="12" customWidth="1"/>
    <col min="6" max="6" width="15" customWidth="1"/>
    <col min="7" max="7" width="12" customWidth="1"/>
    <col min="8" max="8" width="16" customWidth="1"/>
    <col min="9" max="9" width="15" customWidth="1"/>
    <col min="10" max="10" width="13.90625" customWidth="1"/>
    <col min="11" max="12" width="12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5">
      <c r="A2" t="s">
        <v>12</v>
      </c>
      <c r="B2" s="1">
        <v>46024</v>
      </c>
      <c r="C2" t="s">
        <v>13</v>
      </c>
      <c r="D2" t="s">
        <v>14</v>
      </c>
      <c r="E2" t="s">
        <v>15</v>
      </c>
      <c r="F2" t="s">
        <v>16</v>
      </c>
      <c r="G2">
        <v>1</v>
      </c>
      <c r="H2" s="2">
        <v>1158.07</v>
      </c>
      <c r="I2" s="3">
        <v>0.05</v>
      </c>
      <c r="J2" s="2">
        <v>1100.17</v>
      </c>
      <c r="K2" s="2">
        <v>819.09</v>
      </c>
      <c r="L2" s="2">
        <v>281.08</v>
      </c>
    </row>
    <row r="3" spans="1:12" x14ac:dyDescent="0.35">
      <c r="A3" t="s">
        <v>17</v>
      </c>
      <c r="B3" s="1">
        <v>46026</v>
      </c>
      <c r="C3" t="s">
        <v>18</v>
      </c>
      <c r="D3" t="s">
        <v>19</v>
      </c>
      <c r="E3" t="s">
        <v>20</v>
      </c>
      <c r="F3" t="s">
        <v>21</v>
      </c>
      <c r="G3">
        <v>2</v>
      </c>
      <c r="H3" s="2">
        <v>1200.8699999999999</v>
      </c>
      <c r="I3" s="3">
        <v>0</v>
      </c>
      <c r="J3" s="2">
        <v>2401.7399999999998</v>
      </c>
      <c r="K3" s="2">
        <v>1861</v>
      </c>
      <c r="L3" s="2">
        <v>540.74</v>
      </c>
    </row>
    <row r="4" spans="1:12" x14ac:dyDescent="0.35">
      <c r="A4" t="s">
        <v>22</v>
      </c>
      <c r="B4" s="1">
        <v>46026</v>
      </c>
      <c r="C4" t="s">
        <v>23</v>
      </c>
      <c r="D4" t="s">
        <v>19</v>
      </c>
      <c r="E4" t="s">
        <v>24</v>
      </c>
      <c r="F4" t="s">
        <v>25</v>
      </c>
      <c r="G4">
        <v>5</v>
      </c>
      <c r="H4" s="2">
        <v>751.57</v>
      </c>
      <c r="I4" s="3">
        <v>0.05</v>
      </c>
      <c r="J4" s="2">
        <v>3569.96</v>
      </c>
      <c r="K4" s="2">
        <v>2246.37</v>
      </c>
      <c r="L4" s="2">
        <v>1323.59</v>
      </c>
    </row>
    <row r="5" spans="1:12" x14ac:dyDescent="0.35">
      <c r="A5" t="s">
        <v>26</v>
      </c>
      <c r="B5" s="1">
        <v>46027</v>
      </c>
      <c r="C5" t="s">
        <v>27</v>
      </c>
      <c r="D5" t="s">
        <v>28</v>
      </c>
      <c r="E5" t="s">
        <v>29</v>
      </c>
      <c r="F5" t="s">
        <v>21</v>
      </c>
      <c r="G5">
        <v>1</v>
      </c>
      <c r="H5" s="2">
        <v>1815.34</v>
      </c>
      <c r="I5" s="3">
        <v>0.15</v>
      </c>
      <c r="J5" s="2">
        <v>1543.04</v>
      </c>
      <c r="K5" s="2">
        <v>1405.29</v>
      </c>
      <c r="L5" s="2">
        <v>137.75</v>
      </c>
    </row>
    <row r="6" spans="1:12" x14ac:dyDescent="0.35">
      <c r="A6" t="s">
        <v>30</v>
      </c>
      <c r="B6" s="1">
        <v>46029</v>
      </c>
      <c r="C6" t="s">
        <v>27</v>
      </c>
      <c r="D6" t="s">
        <v>28</v>
      </c>
      <c r="E6" t="s">
        <v>15</v>
      </c>
      <c r="F6" t="s">
        <v>21</v>
      </c>
      <c r="G6">
        <v>4</v>
      </c>
      <c r="H6" s="2">
        <v>1631.22</v>
      </c>
      <c r="I6" s="3">
        <v>0.1</v>
      </c>
      <c r="J6" s="2">
        <v>5872.39</v>
      </c>
      <c r="K6" s="2">
        <v>4017.07</v>
      </c>
      <c r="L6" s="2">
        <v>1855.32</v>
      </c>
    </row>
    <row r="7" spans="1:12" x14ac:dyDescent="0.35">
      <c r="A7" t="s">
        <v>31</v>
      </c>
      <c r="B7" s="1">
        <v>46030</v>
      </c>
      <c r="C7" t="s">
        <v>13</v>
      </c>
      <c r="D7" t="s">
        <v>14</v>
      </c>
      <c r="E7" t="s">
        <v>32</v>
      </c>
      <c r="F7" t="s">
        <v>21</v>
      </c>
      <c r="G7">
        <v>5</v>
      </c>
      <c r="H7" s="2">
        <v>1163.46</v>
      </c>
      <c r="I7" s="3">
        <v>0.1</v>
      </c>
      <c r="J7" s="2">
        <v>5235.57</v>
      </c>
      <c r="K7" s="2">
        <v>4350.68</v>
      </c>
      <c r="L7" s="2">
        <v>884.89</v>
      </c>
    </row>
    <row r="8" spans="1:12" x14ac:dyDescent="0.35">
      <c r="A8" t="s">
        <v>33</v>
      </c>
      <c r="B8" s="1">
        <v>46030</v>
      </c>
      <c r="C8" t="s">
        <v>27</v>
      </c>
      <c r="D8" t="s">
        <v>28</v>
      </c>
      <c r="E8" t="s">
        <v>32</v>
      </c>
      <c r="F8" t="s">
        <v>25</v>
      </c>
      <c r="G8">
        <v>1</v>
      </c>
      <c r="H8" s="2">
        <v>1868.37</v>
      </c>
      <c r="I8" s="3">
        <v>0.05</v>
      </c>
      <c r="J8" s="2">
        <v>1774.95</v>
      </c>
      <c r="K8" s="2">
        <v>1264.57</v>
      </c>
      <c r="L8" s="2">
        <v>510.38</v>
      </c>
    </row>
    <row r="9" spans="1:12" x14ac:dyDescent="0.35">
      <c r="A9" t="s">
        <v>34</v>
      </c>
      <c r="B9" s="1">
        <v>46031</v>
      </c>
      <c r="C9" t="s">
        <v>13</v>
      </c>
      <c r="D9" t="s">
        <v>14</v>
      </c>
      <c r="E9" t="s">
        <v>29</v>
      </c>
      <c r="F9" t="s">
        <v>21</v>
      </c>
      <c r="G9">
        <v>2</v>
      </c>
      <c r="H9" s="2">
        <v>1055.3699999999999</v>
      </c>
      <c r="I9" s="3">
        <v>0.15</v>
      </c>
      <c r="J9" s="2">
        <v>1794.13</v>
      </c>
      <c r="K9" s="2">
        <v>1564.77</v>
      </c>
      <c r="L9" s="2">
        <v>229.36</v>
      </c>
    </row>
    <row r="10" spans="1:12" x14ac:dyDescent="0.35">
      <c r="A10" t="s">
        <v>35</v>
      </c>
      <c r="B10" s="1">
        <v>46031</v>
      </c>
      <c r="C10" t="s">
        <v>36</v>
      </c>
      <c r="D10" t="s">
        <v>19</v>
      </c>
      <c r="E10" t="s">
        <v>29</v>
      </c>
      <c r="F10" t="s">
        <v>25</v>
      </c>
      <c r="G10">
        <v>2</v>
      </c>
      <c r="H10" s="2">
        <v>1619.08</v>
      </c>
      <c r="I10" s="3">
        <v>0.05</v>
      </c>
      <c r="J10" s="2">
        <v>3076.25</v>
      </c>
      <c r="K10" s="2">
        <v>1867.66</v>
      </c>
      <c r="L10" s="2">
        <v>1208.5899999999999</v>
      </c>
    </row>
    <row r="11" spans="1:12" x14ac:dyDescent="0.35">
      <c r="A11" t="s">
        <v>37</v>
      </c>
      <c r="B11" s="1">
        <v>46032</v>
      </c>
      <c r="C11" t="s">
        <v>38</v>
      </c>
      <c r="D11" t="s">
        <v>39</v>
      </c>
      <c r="E11" t="s">
        <v>24</v>
      </c>
      <c r="F11" t="s">
        <v>16</v>
      </c>
      <c r="G11">
        <v>3</v>
      </c>
      <c r="H11" s="2">
        <v>2143.66</v>
      </c>
      <c r="I11" s="3">
        <v>0</v>
      </c>
      <c r="J11" s="2">
        <v>6430.98</v>
      </c>
      <c r="K11" s="2">
        <v>4604.92</v>
      </c>
      <c r="L11" s="2">
        <v>1826.06</v>
      </c>
    </row>
    <row r="12" spans="1:12" x14ac:dyDescent="0.35">
      <c r="A12" t="s">
        <v>40</v>
      </c>
      <c r="B12" s="1">
        <v>46035</v>
      </c>
      <c r="C12" t="s">
        <v>23</v>
      </c>
      <c r="D12" t="s">
        <v>19</v>
      </c>
      <c r="E12" t="s">
        <v>15</v>
      </c>
      <c r="F12" t="s">
        <v>21</v>
      </c>
      <c r="G12">
        <v>2</v>
      </c>
      <c r="H12" s="2">
        <v>658.15</v>
      </c>
      <c r="I12" s="3">
        <v>0.05</v>
      </c>
      <c r="J12" s="2">
        <v>1250.48</v>
      </c>
      <c r="K12" s="2">
        <v>939.96</v>
      </c>
      <c r="L12" s="2">
        <v>310.52</v>
      </c>
    </row>
    <row r="13" spans="1:12" x14ac:dyDescent="0.35">
      <c r="A13" t="s">
        <v>41</v>
      </c>
      <c r="B13" s="1">
        <v>46035</v>
      </c>
      <c r="C13" t="s">
        <v>42</v>
      </c>
      <c r="D13" t="s">
        <v>19</v>
      </c>
      <c r="E13" t="s">
        <v>15</v>
      </c>
      <c r="F13" t="s">
        <v>25</v>
      </c>
      <c r="G13">
        <v>2</v>
      </c>
      <c r="H13" s="2">
        <v>814.17</v>
      </c>
      <c r="I13" s="3">
        <v>0.15</v>
      </c>
      <c r="J13" s="2">
        <v>1384.09</v>
      </c>
      <c r="K13" s="2">
        <v>1209.53</v>
      </c>
      <c r="L13" s="2">
        <v>174.56</v>
      </c>
    </row>
    <row r="14" spans="1:12" x14ac:dyDescent="0.35">
      <c r="A14" t="s">
        <v>43</v>
      </c>
      <c r="B14" s="1">
        <v>46035</v>
      </c>
      <c r="C14" t="s">
        <v>27</v>
      </c>
      <c r="D14" t="s">
        <v>28</v>
      </c>
      <c r="E14" t="s">
        <v>24</v>
      </c>
      <c r="F14" t="s">
        <v>21</v>
      </c>
      <c r="G14">
        <v>5</v>
      </c>
      <c r="H14" s="2">
        <v>1933.3</v>
      </c>
      <c r="I14" s="3">
        <v>0.15</v>
      </c>
      <c r="J14" s="2">
        <v>8216.52</v>
      </c>
      <c r="K14" s="2">
        <v>6099.62</v>
      </c>
      <c r="L14" s="2">
        <v>2116.9</v>
      </c>
    </row>
    <row r="15" spans="1:12" x14ac:dyDescent="0.35">
      <c r="A15" t="s">
        <v>44</v>
      </c>
      <c r="B15" s="1">
        <v>46036</v>
      </c>
      <c r="C15" t="s">
        <v>18</v>
      </c>
      <c r="D15" t="s">
        <v>19</v>
      </c>
      <c r="E15" t="s">
        <v>24</v>
      </c>
      <c r="F15" t="s">
        <v>16</v>
      </c>
      <c r="G15">
        <v>3</v>
      </c>
      <c r="H15" s="2">
        <v>1139.5899999999999</v>
      </c>
      <c r="I15" s="3">
        <v>0.15</v>
      </c>
      <c r="J15" s="2">
        <v>2905.95</v>
      </c>
      <c r="K15" s="2">
        <v>2478.14</v>
      </c>
      <c r="L15" s="2">
        <v>427.81</v>
      </c>
    </row>
    <row r="16" spans="1:12" x14ac:dyDescent="0.35">
      <c r="A16" t="s">
        <v>45</v>
      </c>
      <c r="B16" s="1">
        <v>46038</v>
      </c>
      <c r="C16" t="s">
        <v>27</v>
      </c>
      <c r="D16" t="s">
        <v>28</v>
      </c>
      <c r="E16" t="s">
        <v>24</v>
      </c>
      <c r="F16" t="s">
        <v>25</v>
      </c>
      <c r="G16">
        <v>5</v>
      </c>
      <c r="H16" s="2">
        <v>1978.61</v>
      </c>
      <c r="I16" s="3">
        <v>0</v>
      </c>
      <c r="J16" s="2">
        <v>9893.0499999999993</v>
      </c>
      <c r="K16" s="2">
        <v>7418.13</v>
      </c>
      <c r="L16" s="2">
        <v>2474.92</v>
      </c>
    </row>
    <row r="17" spans="1:12" x14ac:dyDescent="0.35">
      <c r="A17" t="s">
        <v>46</v>
      </c>
      <c r="B17" s="1">
        <v>46040</v>
      </c>
      <c r="C17" t="s">
        <v>27</v>
      </c>
      <c r="D17" t="s">
        <v>28</v>
      </c>
      <c r="E17" t="s">
        <v>20</v>
      </c>
      <c r="F17" t="s">
        <v>25</v>
      </c>
      <c r="G17">
        <v>5</v>
      </c>
      <c r="H17" s="2">
        <v>1905.29</v>
      </c>
      <c r="I17" s="3">
        <v>0.05</v>
      </c>
      <c r="J17" s="2">
        <v>9050.1299999999992</v>
      </c>
      <c r="K17" s="2">
        <v>5777.95</v>
      </c>
      <c r="L17" s="2">
        <v>3272.18</v>
      </c>
    </row>
    <row r="18" spans="1:12" x14ac:dyDescent="0.35">
      <c r="A18" t="s">
        <v>47</v>
      </c>
      <c r="B18" s="1">
        <v>46041</v>
      </c>
      <c r="C18" t="s">
        <v>42</v>
      </c>
      <c r="D18" t="s">
        <v>19</v>
      </c>
      <c r="E18" t="s">
        <v>29</v>
      </c>
      <c r="F18" t="s">
        <v>25</v>
      </c>
      <c r="G18">
        <v>5</v>
      </c>
      <c r="H18" s="2">
        <v>893.45</v>
      </c>
      <c r="I18" s="3">
        <v>0</v>
      </c>
      <c r="J18" s="2">
        <v>4467.25</v>
      </c>
      <c r="K18" s="2">
        <v>3343.81</v>
      </c>
      <c r="L18" s="2">
        <v>1123.44</v>
      </c>
    </row>
    <row r="19" spans="1:12" x14ac:dyDescent="0.35">
      <c r="A19" t="s">
        <v>48</v>
      </c>
      <c r="B19" s="1">
        <v>46042</v>
      </c>
      <c r="C19" t="s">
        <v>18</v>
      </c>
      <c r="D19" t="s">
        <v>19</v>
      </c>
      <c r="E19" t="s">
        <v>20</v>
      </c>
      <c r="F19" t="s">
        <v>25</v>
      </c>
      <c r="G19">
        <v>3</v>
      </c>
      <c r="H19" s="2">
        <v>1224.23</v>
      </c>
      <c r="I19" s="3">
        <v>0.1</v>
      </c>
      <c r="J19" s="2">
        <v>3305.42</v>
      </c>
      <c r="K19" s="2">
        <v>2739.6</v>
      </c>
      <c r="L19" s="2">
        <v>565.82000000000005</v>
      </c>
    </row>
    <row r="20" spans="1:12" x14ac:dyDescent="0.35">
      <c r="A20" t="s">
        <v>49</v>
      </c>
      <c r="B20" s="1">
        <v>46042</v>
      </c>
      <c r="C20" t="s">
        <v>36</v>
      </c>
      <c r="D20" t="s">
        <v>19</v>
      </c>
      <c r="E20" t="s">
        <v>15</v>
      </c>
      <c r="F20" t="s">
        <v>16</v>
      </c>
      <c r="G20">
        <v>4</v>
      </c>
      <c r="H20" s="2">
        <v>1638.09</v>
      </c>
      <c r="I20" s="3">
        <v>0.05</v>
      </c>
      <c r="J20" s="2">
        <v>6224.74</v>
      </c>
      <c r="K20" s="2">
        <v>4245.62</v>
      </c>
      <c r="L20" s="2">
        <v>1979.12</v>
      </c>
    </row>
    <row r="21" spans="1:12" x14ac:dyDescent="0.35">
      <c r="A21" t="s">
        <v>50</v>
      </c>
      <c r="B21" s="1">
        <v>46042</v>
      </c>
      <c r="C21" t="s">
        <v>23</v>
      </c>
      <c r="D21" t="s">
        <v>19</v>
      </c>
      <c r="E21" t="s">
        <v>24</v>
      </c>
      <c r="F21" t="s">
        <v>16</v>
      </c>
      <c r="G21">
        <v>3</v>
      </c>
      <c r="H21" s="2">
        <v>722.39</v>
      </c>
      <c r="I21" s="3">
        <v>0.15</v>
      </c>
      <c r="J21" s="2">
        <v>1842.09</v>
      </c>
      <c r="K21" s="2">
        <v>1304.8599999999999</v>
      </c>
      <c r="L21" s="2">
        <v>537.23</v>
      </c>
    </row>
    <row r="22" spans="1:12" x14ac:dyDescent="0.35">
      <c r="A22" t="s">
        <v>51</v>
      </c>
      <c r="B22" s="1">
        <v>46042</v>
      </c>
      <c r="C22" t="s">
        <v>38</v>
      </c>
      <c r="D22" t="s">
        <v>39</v>
      </c>
      <c r="E22" t="s">
        <v>20</v>
      </c>
      <c r="F22" t="s">
        <v>25</v>
      </c>
      <c r="G22">
        <v>5</v>
      </c>
      <c r="H22" s="2">
        <v>2010.42</v>
      </c>
      <c r="I22" s="3">
        <v>0.05</v>
      </c>
      <c r="J22" s="2">
        <v>9549.5</v>
      </c>
      <c r="K22" s="2">
        <v>6653.99</v>
      </c>
      <c r="L22" s="2">
        <v>2895.51</v>
      </c>
    </row>
    <row r="23" spans="1:12" x14ac:dyDescent="0.35">
      <c r="A23" t="s">
        <v>52</v>
      </c>
      <c r="B23" s="1">
        <v>46043</v>
      </c>
      <c r="C23" t="s">
        <v>42</v>
      </c>
      <c r="D23" t="s">
        <v>19</v>
      </c>
      <c r="E23" t="s">
        <v>15</v>
      </c>
      <c r="F23" t="s">
        <v>16</v>
      </c>
      <c r="G23">
        <v>1</v>
      </c>
      <c r="H23" s="2">
        <v>942.84</v>
      </c>
      <c r="I23" s="3">
        <v>0.15</v>
      </c>
      <c r="J23" s="2">
        <v>801.41</v>
      </c>
      <c r="K23" s="2">
        <v>593.55999999999995</v>
      </c>
      <c r="L23" s="2">
        <v>207.85</v>
      </c>
    </row>
    <row r="24" spans="1:12" x14ac:dyDescent="0.35">
      <c r="A24" t="s">
        <v>53</v>
      </c>
      <c r="B24" s="1">
        <v>46044</v>
      </c>
      <c r="C24" t="s">
        <v>23</v>
      </c>
      <c r="D24" t="s">
        <v>19</v>
      </c>
      <c r="E24" t="s">
        <v>24</v>
      </c>
      <c r="F24" t="s">
        <v>21</v>
      </c>
      <c r="G24">
        <v>4</v>
      </c>
      <c r="H24" s="2">
        <v>750.27</v>
      </c>
      <c r="I24" s="3">
        <v>0</v>
      </c>
      <c r="J24" s="2">
        <v>3001.08</v>
      </c>
      <c r="K24" s="2">
        <v>2296.9499999999998</v>
      </c>
      <c r="L24" s="2">
        <v>704.13</v>
      </c>
    </row>
    <row r="25" spans="1:12" x14ac:dyDescent="0.35">
      <c r="A25" t="s">
        <v>54</v>
      </c>
      <c r="B25" s="1">
        <v>46045</v>
      </c>
      <c r="C25" t="s">
        <v>18</v>
      </c>
      <c r="D25" t="s">
        <v>19</v>
      </c>
      <c r="E25" t="s">
        <v>15</v>
      </c>
      <c r="F25" t="s">
        <v>16</v>
      </c>
      <c r="G25">
        <v>2</v>
      </c>
      <c r="H25" s="2">
        <v>1109.96</v>
      </c>
      <c r="I25" s="3">
        <v>0</v>
      </c>
      <c r="J25" s="2">
        <v>2219.92</v>
      </c>
      <c r="K25" s="2">
        <v>1692.41</v>
      </c>
      <c r="L25" s="2">
        <v>527.51</v>
      </c>
    </row>
    <row r="26" spans="1:12" x14ac:dyDescent="0.35">
      <c r="A26" t="s">
        <v>55</v>
      </c>
      <c r="B26" s="1">
        <v>46046</v>
      </c>
      <c r="C26" t="s">
        <v>42</v>
      </c>
      <c r="D26" t="s">
        <v>19</v>
      </c>
      <c r="E26" t="s">
        <v>29</v>
      </c>
      <c r="F26" t="s">
        <v>21</v>
      </c>
      <c r="G26">
        <v>1</v>
      </c>
      <c r="H26" s="2">
        <v>876.69</v>
      </c>
      <c r="I26" s="3">
        <v>0.15</v>
      </c>
      <c r="J26" s="2">
        <v>745.19</v>
      </c>
      <c r="K26" s="2">
        <v>542.24</v>
      </c>
      <c r="L26" s="2">
        <v>202.95</v>
      </c>
    </row>
    <row r="27" spans="1:12" x14ac:dyDescent="0.35">
      <c r="A27" t="s">
        <v>56</v>
      </c>
      <c r="B27" s="1">
        <v>46048</v>
      </c>
      <c r="C27" t="s">
        <v>38</v>
      </c>
      <c r="D27" t="s">
        <v>39</v>
      </c>
      <c r="E27" t="s">
        <v>15</v>
      </c>
      <c r="F27" t="s">
        <v>21</v>
      </c>
      <c r="G27">
        <v>1</v>
      </c>
      <c r="H27" s="2">
        <v>2263.6999999999998</v>
      </c>
      <c r="I27" s="3">
        <v>0.15</v>
      </c>
      <c r="J27" s="2">
        <v>1924.14</v>
      </c>
      <c r="K27" s="2">
        <v>1578.67</v>
      </c>
      <c r="L27" s="2">
        <v>345.47</v>
      </c>
    </row>
    <row r="28" spans="1:12" x14ac:dyDescent="0.35">
      <c r="A28" t="s">
        <v>57</v>
      </c>
      <c r="B28" s="1">
        <v>46048</v>
      </c>
      <c r="C28" t="s">
        <v>42</v>
      </c>
      <c r="D28" t="s">
        <v>19</v>
      </c>
      <c r="E28" t="s">
        <v>15</v>
      </c>
      <c r="F28" t="s">
        <v>21</v>
      </c>
      <c r="G28">
        <v>3</v>
      </c>
      <c r="H28" s="2">
        <v>880.55</v>
      </c>
      <c r="I28" s="3">
        <v>0.05</v>
      </c>
      <c r="J28" s="2">
        <v>2509.5700000000002</v>
      </c>
      <c r="K28" s="2">
        <v>1580.7</v>
      </c>
      <c r="L28" s="2">
        <v>928.87</v>
      </c>
    </row>
    <row r="29" spans="1:12" x14ac:dyDescent="0.35">
      <c r="A29" t="s">
        <v>58</v>
      </c>
      <c r="B29" s="1">
        <v>46053</v>
      </c>
      <c r="C29" t="s">
        <v>36</v>
      </c>
      <c r="D29" t="s">
        <v>19</v>
      </c>
      <c r="E29" t="s">
        <v>15</v>
      </c>
      <c r="F29" t="s">
        <v>16</v>
      </c>
      <c r="G29">
        <v>5</v>
      </c>
      <c r="H29" s="2">
        <v>1580.5</v>
      </c>
      <c r="I29" s="3">
        <v>0</v>
      </c>
      <c r="J29" s="2">
        <v>7902.5</v>
      </c>
      <c r="K29" s="2">
        <v>5564.78</v>
      </c>
      <c r="L29" s="2">
        <v>2337.7199999999998</v>
      </c>
    </row>
    <row r="30" spans="1:12" x14ac:dyDescent="0.35">
      <c r="A30" t="s">
        <v>59</v>
      </c>
      <c r="B30" s="1">
        <v>46054</v>
      </c>
      <c r="C30" t="s">
        <v>42</v>
      </c>
      <c r="D30" t="s">
        <v>19</v>
      </c>
      <c r="E30" t="s">
        <v>24</v>
      </c>
      <c r="F30" t="s">
        <v>25</v>
      </c>
      <c r="G30">
        <v>5</v>
      </c>
      <c r="H30" s="2">
        <v>895.03</v>
      </c>
      <c r="I30" s="3">
        <v>0.1</v>
      </c>
      <c r="J30" s="2">
        <v>4027.63</v>
      </c>
      <c r="K30" s="2">
        <v>2998.27</v>
      </c>
      <c r="L30" s="2">
        <v>1029.3599999999999</v>
      </c>
    </row>
    <row r="31" spans="1:12" x14ac:dyDescent="0.35">
      <c r="A31" t="s">
        <v>60</v>
      </c>
      <c r="B31" s="1">
        <v>46057</v>
      </c>
      <c r="C31" t="s">
        <v>27</v>
      </c>
      <c r="D31" t="s">
        <v>28</v>
      </c>
      <c r="E31" t="s">
        <v>24</v>
      </c>
      <c r="F31" t="s">
        <v>21</v>
      </c>
      <c r="G31">
        <v>3</v>
      </c>
      <c r="H31" s="2">
        <v>1755.68</v>
      </c>
      <c r="I31" s="3">
        <v>0.05</v>
      </c>
      <c r="J31" s="2">
        <v>5003.6899999999996</v>
      </c>
      <c r="K31" s="2">
        <v>3979.54</v>
      </c>
      <c r="L31" s="2">
        <v>1024.1500000000001</v>
      </c>
    </row>
    <row r="32" spans="1:12" x14ac:dyDescent="0.35">
      <c r="A32" t="s">
        <v>61</v>
      </c>
      <c r="B32" s="1">
        <v>46057</v>
      </c>
      <c r="C32" t="s">
        <v>13</v>
      </c>
      <c r="D32" t="s">
        <v>14</v>
      </c>
      <c r="E32" t="s">
        <v>20</v>
      </c>
      <c r="F32" t="s">
        <v>16</v>
      </c>
      <c r="G32">
        <v>4</v>
      </c>
      <c r="H32" s="2">
        <v>1136.77</v>
      </c>
      <c r="I32" s="3">
        <v>0</v>
      </c>
      <c r="J32" s="2">
        <v>4547.08</v>
      </c>
      <c r="K32" s="2">
        <v>3442.92</v>
      </c>
      <c r="L32" s="2">
        <v>1104.1600000000001</v>
      </c>
    </row>
    <row r="33" spans="1:12" x14ac:dyDescent="0.35">
      <c r="A33" t="s">
        <v>62</v>
      </c>
      <c r="B33" s="1">
        <v>46058</v>
      </c>
      <c r="C33" t="s">
        <v>23</v>
      </c>
      <c r="D33" t="s">
        <v>19</v>
      </c>
      <c r="E33" t="s">
        <v>24</v>
      </c>
      <c r="F33" t="s">
        <v>16</v>
      </c>
      <c r="G33">
        <v>4</v>
      </c>
      <c r="H33" s="2">
        <v>664.32</v>
      </c>
      <c r="I33" s="3">
        <v>0.15</v>
      </c>
      <c r="J33" s="2">
        <v>2258.69</v>
      </c>
      <c r="K33" s="2">
        <v>1829.84</v>
      </c>
      <c r="L33" s="2">
        <v>428.85</v>
      </c>
    </row>
    <row r="34" spans="1:12" x14ac:dyDescent="0.35">
      <c r="A34" t="s">
        <v>63</v>
      </c>
      <c r="B34" s="1">
        <v>46058</v>
      </c>
      <c r="C34" t="s">
        <v>36</v>
      </c>
      <c r="D34" t="s">
        <v>19</v>
      </c>
      <c r="E34" t="s">
        <v>20</v>
      </c>
      <c r="F34" t="s">
        <v>21</v>
      </c>
      <c r="G34">
        <v>1</v>
      </c>
      <c r="H34" s="2">
        <v>1513.95</v>
      </c>
      <c r="I34" s="3">
        <v>0.05</v>
      </c>
      <c r="J34" s="2">
        <v>1438.25</v>
      </c>
      <c r="K34" s="2">
        <v>982.02</v>
      </c>
      <c r="L34" s="2">
        <v>456.23</v>
      </c>
    </row>
    <row r="35" spans="1:12" x14ac:dyDescent="0.35">
      <c r="A35" t="s">
        <v>64</v>
      </c>
      <c r="B35" s="1">
        <v>46059</v>
      </c>
      <c r="C35" t="s">
        <v>13</v>
      </c>
      <c r="D35" t="s">
        <v>14</v>
      </c>
      <c r="E35" t="s">
        <v>20</v>
      </c>
      <c r="F35" t="s">
        <v>21</v>
      </c>
      <c r="G35">
        <v>3</v>
      </c>
      <c r="H35" s="2">
        <v>1196.56</v>
      </c>
      <c r="I35" s="3">
        <v>0.1</v>
      </c>
      <c r="J35" s="2">
        <v>3230.71</v>
      </c>
      <c r="K35" s="2">
        <v>2508</v>
      </c>
      <c r="L35" s="2">
        <v>722.71</v>
      </c>
    </row>
    <row r="36" spans="1:12" x14ac:dyDescent="0.35">
      <c r="A36" t="s">
        <v>65</v>
      </c>
      <c r="B36" s="1">
        <v>46060</v>
      </c>
      <c r="C36" t="s">
        <v>27</v>
      </c>
      <c r="D36" t="s">
        <v>28</v>
      </c>
      <c r="E36" t="s">
        <v>29</v>
      </c>
      <c r="F36" t="s">
        <v>21</v>
      </c>
      <c r="G36">
        <v>5</v>
      </c>
      <c r="H36" s="2">
        <v>1762.62</v>
      </c>
      <c r="I36" s="3">
        <v>0.1</v>
      </c>
      <c r="J36" s="2">
        <v>7931.79</v>
      </c>
      <c r="K36" s="2">
        <v>6795.82</v>
      </c>
      <c r="L36" s="2">
        <v>1135.97</v>
      </c>
    </row>
    <row r="37" spans="1:12" x14ac:dyDescent="0.35">
      <c r="A37" t="s">
        <v>66</v>
      </c>
      <c r="B37" s="1">
        <v>46061</v>
      </c>
      <c r="C37" t="s">
        <v>27</v>
      </c>
      <c r="D37" t="s">
        <v>28</v>
      </c>
      <c r="E37" t="s">
        <v>32</v>
      </c>
      <c r="F37" t="s">
        <v>21</v>
      </c>
      <c r="G37">
        <v>5</v>
      </c>
      <c r="H37" s="2">
        <v>1740.97</v>
      </c>
      <c r="I37" s="3">
        <v>0.1</v>
      </c>
      <c r="J37" s="2">
        <v>7834.37</v>
      </c>
      <c r="K37" s="2">
        <v>5303.03</v>
      </c>
      <c r="L37" s="2">
        <v>2531.34</v>
      </c>
    </row>
    <row r="38" spans="1:12" x14ac:dyDescent="0.35">
      <c r="A38" t="s">
        <v>67</v>
      </c>
      <c r="B38" s="1">
        <v>46061</v>
      </c>
      <c r="C38" t="s">
        <v>27</v>
      </c>
      <c r="D38" t="s">
        <v>28</v>
      </c>
      <c r="E38" t="s">
        <v>32</v>
      </c>
      <c r="F38" t="s">
        <v>25</v>
      </c>
      <c r="G38">
        <v>1</v>
      </c>
      <c r="H38" s="2">
        <v>1897.58</v>
      </c>
      <c r="I38" s="3">
        <v>0</v>
      </c>
      <c r="J38" s="2">
        <v>1897.58</v>
      </c>
      <c r="K38" s="2">
        <v>1466.63</v>
      </c>
      <c r="L38" s="2">
        <v>430.95</v>
      </c>
    </row>
    <row r="39" spans="1:12" x14ac:dyDescent="0.35">
      <c r="A39" t="s">
        <v>68</v>
      </c>
      <c r="B39" s="1">
        <v>46062</v>
      </c>
      <c r="C39" t="s">
        <v>42</v>
      </c>
      <c r="D39" t="s">
        <v>19</v>
      </c>
      <c r="E39" t="s">
        <v>20</v>
      </c>
      <c r="F39" t="s">
        <v>21</v>
      </c>
      <c r="G39">
        <v>2</v>
      </c>
      <c r="H39" s="2">
        <v>926.04</v>
      </c>
      <c r="I39" s="3">
        <v>0.15</v>
      </c>
      <c r="J39" s="2">
        <v>1574.27</v>
      </c>
      <c r="K39" s="2">
        <v>1116.02</v>
      </c>
      <c r="L39" s="2">
        <v>458.25</v>
      </c>
    </row>
    <row r="40" spans="1:12" x14ac:dyDescent="0.35">
      <c r="A40" t="s">
        <v>69</v>
      </c>
      <c r="B40" s="1">
        <v>46066</v>
      </c>
      <c r="C40" t="s">
        <v>38</v>
      </c>
      <c r="D40" t="s">
        <v>39</v>
      </c>
      <c r="E40" t="s">
        <v>29</v>
      </c>
      <c r="F40" t="s">
        <v>21</v>
      </c>
      <c r="G40">
        <v>5</v>
      </c>
      <c r="H40" s="2">
        <v>2245.6999999999998</v>
      </c>
      <c r="I40" s="3">
        <v>0.15</v>
      </c>
      <c r="J40" s="2">
        <v>9544.23</v>
      </c>
      <c r="K40" s="2">
        <v>7481.87</v>
      </c>
      <c r="L40" s="2">
        <v>2062.36</v>
      </c>
    </row>
    <row r="41" spans="1:12" x14ac:dyDescent="0.35">
      <c r="A41" t="s">
        <v>70</v>
      </c>
      <c r="B41" s="1">
        <v>46066</v>
      </c>
      <c r="C41" t="s">
        <v>27</v>
      </c>
      <c r="D41" t="s">
        <v>28</v>
      </c>
      <c r="E41" t="s">
        <v>15</v>
      </c>
      <c r="F41" t="s">
        <v>16</v>
      </c>
      <c r="G41">
        <v>2</v>
      </c>
      <c r="H41" s="2">
        <v>1838.2</v>
      </c>
      <c r="I41" s="3">
        <v>0.1</v>
      </c>
      <c r="J41" s="2">
        <v>3308.76</v>
      </c>
      <c r="K41" s="2">
        <v>2251.69</v>
      </c>
      <c r="L41" s="2">
        <v>1057.07</v>
      </c>
    </row>
    <row r="42" spans="1:12" x14ac:dyDescent="0.35">
      <c r="A42" t="s">
        <v>71</v>
      </c>
      <c r="B42" s="1">
        <v>46066</v>
      </c>
      <c r="C42" t="s">
        <v>18</v>
      </c>
      <c r="D42" t="s">
        <v>19</v>
      </c>
      <c r="E42" t="s">
        <v>24</v>
      </c>
      <c r="F42" t="s">
        <v>21</v>
      </c>
      <c r="G42">
        <v>4</v>
      </c>
      <c r="H42" s="2">
        <v>1169.24</v>
      </c>
      <c r="I42" s="3">
        <v>0.05</v>
      </c>
      <c r="J42" s="2">
        <v>4443.1099999999997</v>
      </c>
      <c r="K42" s="2">
        <v>3347.48</v>
      </c>
      <c r="L42" s="2">
        <v>1095.6300000000001</v>
      </c>
    </row>
    <row r="43" spans="1:12" x14ac:dyDescent="0.35">
      <c r="A43" t="s">
        <v>72</v>
      </c>
      <c r="B43" s="1">
        <v>46066</v>
      </c>
      <c r="C43" t="s">
        <v>73</v>
      </c>
      <c r="D43" t="s">
        <v>28</v>
      </c>
      <c r="E43" t="s">
        <v>32</v>
      </c>
      <c r="F43" t="s">
        <v>21</v>
      </c>
      <c r="G43">
        <v>2</v>
      </c>
      <c r="H43" s="2">
        <v>11840.29</v>
      </c>
      <c r="I43" s="3">
        <v>0</v>
      </c>
      <c r="J43" s="2">
        <v>23680.58</v>
      </c>
      <c r="K43" s="2">
        <v>13113.82</v>
      </c>
      <c r="L43" s="2">
        <v>10566.76</v>
      </c>
    </row>
    <row r="44" spans="1:12" x14ac:dyDescent="0.35">
      <c r="A44" t="s">
        <v>74</v>
      </c>
      <c r="B44" s="1">
        <v>46070</v>
      </c>
      <c r="C44" t="s">
        <v>42</v>
      </c>
      <c r="D44" t="s">
        <v>19</v>
      </c>
      <c r="E44" t="s">
        <v>20</v>
      </c>
      <c r="F44" t="s">
        <v>25</v>
      </c>
      <c r="G44">
        <v>3</v>
      </c>
      <c r="H44" s="2">
        <v>845.44</v>
      </c>
      <c r="I44" s="3">
        <v>0.15</v>
      </c>
      <c r="J44" s="2">
        <v>2155.87</v>
      </c>
      <c r="K44" s="2">
        <v>1731.73</v>
      </c>
      <c r="L44" s="2">
        <v>424.14</v>
      </c>
    </row>
    <row r="45" spans="1:12" x14ac:dyDescent="0.35">
      <c r="A45" t="s">
        <v>75</v>
      </c>
      <c r="B45" s="1">
        <v>46070</v>
      </c>
      <c r="C45" t="s">
        <v>42</v>
      </c>
      <c r="D45" t="s">
        <v>19</v>
      </c>
      <c r="E45" t="s">
        <v>20</v>
      </c>
      <c r="F45" t="s">
        <v>21</v>
      </c>
      <c r="G45">
        <v>3</v>
      </c>
      <c r="H45" s="2">
        <v>925.36</v>
      </c>
      <c r="I45" s="3">
        <v>0.05</v>
      </c>
      <c r="J45" s="2">
        <v>2637.28</v>
      </c>
      <c r="K45" s="2">
        <v>1834.66</v>
      </c>
      <c r="L45" s="2">
        <v>802.62</v>
      </c>
    </row>
    <row r="46" spans="1:12" x14ac:dyDescent="0.35">
      <c r="A46" t="s">
        <v>76</v>
      </c>
      <c r="B46" s="1">
        <v>46070</v>
      </c>
      <c r="C46" t="s">
        <v>13</v>
      </c>
      <c r="D46" t="s">
        <v>14</v>
      </c>
      <c r="E46" t="s">
        <v>24</v>
      </c>
      <c r="F46" t="s">
        <v>21</v>
      </c>
      <c r="G46">
        <v>3</v>
      </c>
      <c r="H46" s="2">
        <v>1138.1400000000001</v>
      </c>
      <c r="I46" s="3">
        <v>0.1</v>
      </c>
      <c r="J46" s="2">
        <v>3072.98</v>
      </c>
      <c r="K46" s="2">
        <v>2120.2800000000002</v>
      </c>
      <c r="L46" s="2">
        <v>952.7</v>
      </c>
    </row>
    <row r="47" spans="1:12" x14ac:dyDescent="0.35">
      <c r="A47" t="s">
        <v>77</v>
      </c>
      <c r="B47" s="1">
        <v>46071</v>
      </c>
      <c r="C47" t="s">
        <v>38</v>
      </c>
      <c r="D47" t="s">
        <v>39</v>
      </c>
      <c r="E47" t="s">
        <v>24</v>
      </c>
      <c r="F47" t="s">
        <v>16</v>
      </c>
      <c r="G47">
        <v>3</v>
      </c>
      <c r="H47" s="2">
        <v>2112.1999999999998</v>
      </c>
      <c r="I47" s="3">
        <v>0.05</v>
      </c>
      <c r="J47" s="2">
        <v>6019.77</v>
      </c>
      <c r="K47" s="2">
        <v>4329.55</v>
      </c>
      <c r="L47" s="2">
        <v>1690.22</v>
      </c>
    </row>
    <row r="48" spans="1:12" x14ac:dyDescent="0.35">
      <c r="A48" t="s">
        <v>78</v>
      </c>
      <c r="B48" s="1">
        <v>46074</v>
      </c>
      <c r="C48" t="s">
        <v>23</v>
      </c>
      <c r="D48" t="s">
        <v>19</v>
      </c>
      <c r="E48" t="s">
        <v>15</v>
      </c>
      <c r="F48" t="s">
        <v>25</v>
      </c>
      <c r="G48">
        <v>1</v>
      </c>
      <c r="H48" s="2">
        <v>643.53</v>
      </c>
      <c r="I48" s="3">
        <v>0.05</v>
      </c>
      <c r="J48" s="2">
        <v>611.35</v>
      </c>
      <c r="K48" s="2">
        <v>430.06</v>
      </c>
      <c r="L48" s="2">
        <v>181.29</v>
      </c>
    </row>
    <row r="49" spans="1:12" x14ac:dyDescent="0.35">
      <c r="A49" t="s">
        <v>79</v>
      </c>
      <c r="B49" s="1">
        <v>46074</v>
      </c>
      <c r="C49" t="s">
        <v>18</v>
      </c>
      <c r="D49" t="s">
        <v>19</v>
      </c>
      <c r="E49" t="s">
        <v>20</v>
      </c>
      <c r="F49" t="s">
        <v>21</v>
      </c>
      <c r="G49">
        <v>4</v>
      </c>
      <c r="H49" s="2">
        <v>1172.2</v>
      </c>
      <c r="I49" s="3">
        <v>0.05</v>
      </c>
      <c r="J49" s="2">
        <v>4454.3599999999997</v>
      </c>
      <c r="K49" s="2">
        <v>2837.66</v>
      </c>
      <c r="L49" s="2">
        <v>1616.7</v>
      </c>
    </row>
    <row r="50" spans="1:12" x14ac:dyDescent="0.35">
      <c r="A50" t="s">
        <v>80</v>
      </c>
      <c r="B50" s="1">
        <v>46075</v>
      </c>
      <c r="C50" t="s">
        <v>23</v>
      </c>
      <c r="D50" t="s">
        <v>19</v>
      </c>
      <c r="E50" t="s">
        <v>24</v>
      </c>
      <c r="F50" t="s">
        <v>16</v>
      </c>
      <c r="G50">
        <v>2</v>
      </c>
      <c r="H50" s="2">
        <v>675.37</v>
      </c>
      <c r="I50" s="3">
        <v>0.05</v>
      </c>
      <c r="J50" s="2">
        <v>1283.2</v>
      </c>
      <c r="K50" s="2">
        <v>953.68</v>
      </c>
      <c r="L50" s="2">
        <v>329.52</v>
      </c>
    </row>
    <row r="51" spans="1:12" x14ac:dyDescent="0.35">
      <c r="A51" t="s">
        <v>81</v>
      </c>
      <c r="B51" s="1">
        <v>46077</v>
      </c>
      <c r="C51" t="s">
        <v>38</v>
      </c>
      <c r="D51" t="s">
        <v>39</v>
      </c>
      <c r="E51" t="s">
        <v>29</v>
      </c>
      <c r="F51" t="s">
        <v>16</v>
      </c>
      <c r="G51">
        <v>5</v>
      </c>
      <c r="H51" s="2">
        <v>2238.41</v>
      </c>
      <c r="I51" s="3">
        <v>0.1</v>
      </c>
      <c r="J51" s="2">
        <v>10072.84</v>
      </c>
      <c r="K51" s="2">
        <v>8047.93</v>
      </c>
      <c r="L51" s="2">
        <v>2024.91</v>
      </c>
    </row>
    <row r="52" spans="1:12" x14ac:dyDescent="0.35">
      <c r="A52" t="s">
        <v>82</v>
      </c>
      <c r="B52" s="1">
        <v>46077</v>
      </c>
      <c r="C52" t="s">
        <v>42</v>
      </c>
      <c r="D52" t="s">
        <v>19</v>
      </c>
      <c r="E52" t="s">
        <v>15</v>
      </c>
      <c r="F52" t="s">
        <v>25</v>
      </c>
      <c r="G52">
        <v>5</v>
      </c>
      <c r="H52" s="2">
        <v>856.36</v>
      </c>
      <c r="I52" s="3">
        <v>0</v>
      </c>
      <c r="J52" s="2">
        <v>4281.8</v>
      </c>
      <c r="K52" s="2">
        <v>2801.69</v>
      </c>
      <c r="L52" s="2">
        <v>1480.11</v>
      </c>
    </row>
    <row r="53" spans="1:12" x14ac:dyDescent="0.35">
      <c r="A53" t="s">
        <v>83</v>
      </c>
      <c r="B53" s="1">
        <v>46079</v>
      </c>
      <c r="C53" t="s">
        <v>42</v>
      </c>
      <c r="D53" t="s">
        <v>19</v>
      </c>
      <c r="E53" t="s">
        <v>24</v>
      </c>
      <c r="F53" t="s">
        <v>25</v>
      </c>
      <c r="G53">
        <v>3</v>
      </c>
      <c r="H53" s="2">
        <v>828.33</v>
      </c>
      <c r="I53" s="3">
        <v>0</v>
      </c>
      <c r="J53" s="2">
        <v>2484.9899999999998</v>
      </c>
      <c r="K53" s="2">
        <v>1800.94</v>
      </c>
      <c r="L53" s="2">
        <v>684.05</v>
      </c>
    </row>
    <row r="54" spans="1:12" x14ac:dyDescent="0.35">
      <c r="A54" t="s">
        <v>84</v>
      </c>
      <c r="B54" s="1">
        <v>46080</v>
      </c>
      <c r="C54" t="s">
        <v>23</v>
      </c>
      <c r="D54" t="s">
        <v>19</v>
      </c>
      <c r="E54" t="s">
        <v>15</v>
      </c>
      <c r="F54" t="s">
        <v>16</v>
      </c>
      <c r="G54">
        <v>5</v>
      </c>
      <c r="H54" s="2">
        <v>695.43</v>
      </c>
      <c r="I54" s="3">
        <v>0.15</v>
      </c>
      <c r="J54" s="2">
        <v>2955.58</v>
      </c>
      <c r="K54" s="2">
        <v>2530.5100000000002</v>
      </c>
      <c r="L54" s="2">
        <v>425.07</v>
      </c>
    </row>
    <row r="55" spans="1:12" x14ac:dyDescent="0.35">
      <c r="A55" t="s">
        <v>85</v>
      </c>
      <c r="B55" s="1">
        <v>46081</v>
      </c>
      <c r="C55" t="s">
        <v>36</v>
      </c>
      <c r="D55" t="s">
        <v>19</v>
      </c>
      <c r="E55" t="s">
        <v>15</v>
      </c>
      <c r="F55" t="s">
        <v>21</v>
      </c>
      <c r="G55">
        <v>5</v>
      </c>
      <c r="H55" s="2">
        <v>1456.71</v>
      </c>
      <c r="I55" s="3">
        <v>0.15</v>
      </c>
      <c r="J55" s="2">
        <v>6191.02</v>
      </c>
      <c r="K55" s="2">
        <v>4823.3599999999997</v>
      </c>
      <c r="L55" s="2">
        <v>1367.66</v>
      </c>
    </row>
    <row r="56" spans="1:12" x14ac:dyDescent="0.35">
      <c r="A56" t="s">
        <v>86</v>
      </c>
      <c r="B56" s="1">
        <v>46081</v>
      </c>
      <c r="C56" t="s">
        <v>42</v>
      </c>
      <c r="D56" t="s">
        <v>19</v>
      </c>
      <c r="E56" t="s">
        <v>29</v>
      </c>
      <c r="F56" t="s">
        <v>21</v>
      </c>
      <c r="G56">
        <v>3</v>
      </c>
      <c r="H56" s="2">
        <v>890.04</v>
      </c>
      <c r="I56" s="3">
        <v>0</v>
      </c>
      <c r="J56" s="2">
        <v>2670.12</v>
      </c>
      <c r="K56" s="2">
        <v>1813.51</v>
      </c>
      <c r="L56" s="2">
        <v>856.61</v>
      </c>
    </row>
    <row r="57" spans="1:12" x14ac:dyDescent="0.35">
      <c r="A57" t="s">
        <v>87</v>
      </c>
      <c r="B57" s="1">
        <v>46083</v>
      </c>
      <c r="C57" t="s">
        <v>38</v>
      </c>
      <c r="D57" t="s">
        <v>39</v>
      </c>
      <c r="E57" t="s">
        <v>20</v>
      </c>
      <c r="F57" t="s">
        <v>16</v>
      </c>
      <c r="G57">
        <v>3</v>
      </c>
      <c r="H57" s="2">
        <v>2216.0300000000002</v>
      </c>
      <c r="I57" s="3">
        <v>0.15</v>
      </c>
      <c r="J57" s="2">
        <v>5650.88</v>
      </c>
      <c r="K57" s="2">
        <v>4900.91</v>
      </c>
      <c r="L57" s="2">
        <v>749.97</v>
      </c>
    </row>
    <row r="58" spans="1:12" x14ac:dyDescent="0.35">
      <c r="A58" t="s">
        <v>88</v>
      </c>
      <c r="B58" s="1">
        <v>46084</v>
      </c>
      <c r="C58" t="s">
        <v>13</v>
      </c>
      <c r="D58" t="s">
        <v>14</v>
      </c>
      <c r="E58" t="s">
        <v>24</v>
      </c>
      <c r="F58" t="s">
        <v>16</v>
      </c>
      <c r="G58">
        <v>4</v>
      </c>
      <c r="H58" s="2">
        <v>1195.79</v>
      </c>
      <c r="I58" s="3">
        <v>0.1</v>
      </c>
      <c r="J58" s="2">
        <v>4304.84</v>
      </c>
      <c r="K58" s="2">
        <v>3354.89</v>
      </c>
      <c r="L58" s="2">
        <v>949.95</v>
      </c>
    </row>
    <row r="59" spans="1:12" x14ac:dyDescent="0.35">
      <c r="A59" t="s">
        <v>89</v>
      </c>
      <c r="B59" s="1">
        <v>46085</v>
      </c>
      <c r="C59" t="s">
        <v>13</v>
      </c>
      <c r="D59" t="s">
        <v>14</v>
      </c>
      <c r="E59" t="s">
        <v>20</v>
      </c>
      <c r="F59" t="s">
        <v>21</v>
      </c>
      <c r="G59">
        <v>3</v>
      </c>
      <c r="H59" s="2">
        <v>1042.24</v>
      </c>
      <c r="I59" s="3">
        <v>0</v>
      </c>
      <c r="J59" s="2">
        <v>3126.72</v>
      </c>
      <c r="K59" s="2">
        <v>1989.51</v>
      </c>
      <c r="L59" s="2">
        <v>1137.21</v>
      </c>
    </row>
    <row r="60" spans="1:12" x14ac:dyDescent="0.35">
      <c r="A60" t="s">
        <v>90</v>
      </c>
      <c r="B60" s="1">
        <v>46086</v>
      </c>
      <c r="C60" t="s">
        <v>36</v>
      </c>
      <c r="D60" t="s">
        <v>19</v>
      </c>
      <c r="E60" t="s">
        <v>20</v>
      </c>
      <c r="F60" t="s">
        <v>16</v>
      </c>
      <c r="G60">
        <v>2</v>
      </c>
      <c r="H60" s="2">
        <v>1553.45</v>
      </c>
      <c r="I60" s="3">
        <v>0.05</v>
      </c>
      <c r="J60" s="2">
        <v>2951.55</v>
      </c>
      <c r="K60" s="2">
        <v>2211.88</v>
      </c>
      <c r="L60" s="2">
        <v>739.67</v>
      </c>
    </row>
    <row r="61" spans="1:12" x14ac:dyDescent="0.35">
      <c r="A61" t="s">
        <v>91</v>
      </c>
      <c r="B61" s="1">
        <v>46089</v>
      </c>
      <c r="C61" t="s">
        <v>27</v>
      </c>
      <c r="D61" t="s">
        <v>28</v>
      </c>
      <c r="E61" t="s">
        <v>15</v>
      </c>
      <c r="F61" t="s">
        <v>16</v>
      </c>
      <c r="G61">
        <v>2</v>
      </c>
      <c r="H61" s="2">
        <v>1959.39</v>
      </c>
      <c r="I61" s="3">
        <v>0.15</v>
      </c>
      <c r="J61" s="2">
        <v>3330.96</v>
      </c>
      <c r="K61" s="2">
        <v>2677.86</v>
      </c>
      <c r="L61" s="2">
        <v>653.1</v>
      </c>
    </row>
    <row r="62" spans="1:12" x14ac:dyDescent="0.35">
      <c r="A62" t="s">
        <v>92</v>
      </c>
      <c r="B62" s="1">
        <v>46090</v>
      </c>
      <c r="C62" t="s">
        <v>13</v>
      </c>
      <c r="D62" t="s">
        <v>14</v>
      </c>
      <c r="E62" t="s">
        <v>32</v>
      </c>
      <c r="F62" t="s">
        <v>25</v>
      </c>
      <c r="G62">
        <v>4</v>
      </c>
      <c r="H62" s="2">
        <v>1007.55</v>
      </c>
      <c r="I62" s="3">
        <v>0.15</v>
      </c>
      <c r="J62" s="2">
        <v>3425.67</v>
      </c>
      <c r="K62" s="2">
        <v>2671.91</v>
      </c>
      <c r="L62" s="2">
        <v>753.76</v>
      </c>
    </row>
    <row r="63" spans="1:12" x14ac:dyDescent="0.35">
      <c r="A63" t="s">
        <v>93</v>
      </c>
      <c r="B63" s="1">
        <v>46091</v>
      </c>
      <c r="C63" t="s">
        <v>42</v>
      </c>
      <c r="D63" t="s">
        <v>19</v>
      </c>
      <c r="E63" t="s">
        <v>15</v>
      </c>
      <c r="F63" t="s">
        <v>16</v>
      </c>
      <c r="G63">
        <v>2</v>
      </c>
      <c r="H63" s="2">
        <v>836.53</v>
      </c>
      <c r="I63" s="3">
        <v>0</v>
      </c>
      <c r="J63" s="2">
        <v>1673.06</v>
      </c>
      <c r="K63" s="2">
        <v>1174.99</v>
      </c>
      <c r="L63" s="2">
        <v>498.07</v>
      </c>
    </row>
    <row r="64" spans="1:12" x14ac:dyDescent="0.35">
      <c r="A64" t="s">
        <v>94</v>
      </c>
      <c r="B64" s="1">
        <v>46091</v>
      </c>
      <c r="C64" t="s">
        <v>13</v>
      </c>
      <c r="D64" t="s">
        <v>14</v>
      </c>
      <c r="E64" t="s">
        <v>24</v>
      </c>
      <c r="F64" t="s">
        <v>21</v>
      </c>
      <c r="G64">
        <v>5</v>
      </c>
      <c r="H64" s="2">
        <v>1080.77</v>
      </c>
      <c r="I64" s="3">
        <v>0</v>
      </c>
      <c r="J64" s="2">
        <v>5403.85</v>
      </c>
      <c r="K64" s="2">
        <v>3118.96</v>
      </c>
      <c r="L64" s="2">
        <v>2284.89</v>
      </c>
    </row>
    <row r="65" spans="1:12" x14ac:dyDescent="0.35">
      <c r="A65" t="s">
        <v>95</v>
      </c>
      <c r="B65" s="1">
        <v>46092</v>
      </c>
      <c r="C65" t="s">
        <v>27</v>
      </c>
      <c r="D65" t="s">
        <v>28</v>
      </c>
      <c r="E65" t="s">
        <v>32</v>
      </c>
      <c r="F65" t="s">
        <v>16</v>
      </c>
      <c r="G65">
        <v>5</v>
      </c>
      <c r="H65" s="2">
        <v>1971.11</v>
      </c>
      <c r="I65" s="3">
        <v>0.1</v>
      </c>
      <c r="J65" s="2">
        <v>8869.99</v>
      </c>
      <c r="K65" s="2">
        <v>7116.97</v>
      </c>
      <c r="L65" s="2">
        <v>1753.02</v>
      </c>
    </row>
    <row r="66" spans="1:12" x14ac:dyDescent="0.35">
      <c r="A66" t="s">
        <v>96</v>
      </c>
      <c r="B66" s="1">
        <v>46094</v>
      </c>
      <c r="C66" t="s">
        <v>23</v>
      </c>
      <c r="D66" t="s">
        <v>19</v>
      </c>
      <c r="E66" t="s">
        <v>20</v>
      </c>
      <c r="F66" t="s">
        <v>21</v>
      </c>
      <c r="G66">
        <v>1</v>
      </c>
      <c r="H66" s="2">
        <v>639</v>
      </c>
      <c r="I66" s="3">
        <v>0.05</v>
      </c>
      <c r="J66" s="2">
        <v>607.04999999999995</v>
      </c>
      <c r="K66" s="2">
        <v>398.84</v>
      </c>
      <c r="L66" s="2">
        <v>208.21</v>
      </c>
    </row>
    <row r="67" spans="1:12" x14ac:dyDescent="0.35">
      <c r="A67" t="s">
        <v>97</v>
      </c>
      <c r="B67" s="1">
        <v>46094</v>
      </c>
      <c r="C67" t="s">
        <v>18</v>
      </c>
      <c r="D67" t="s">
        <v>19</v>
      </c>
      <c r="E67" t="s">
        <v>15</v>
      </c>
      <c r="F67" t="s">
        <v>16</v>
      </c>
      <c r="G67">
        <v>2</v>
      </c>
      <c r="H67" s="2">
        <v>1166.54</v>
      </c>
      <c r="I67" s="3">
        <v>0.05</v>
      </c>
      <c r="J67" s="2">
        <v>2216.4299999999998</v>
      </c>
      <c r="K67" s="2">
        <v>1720.6</v>
      </c>
      <c r="L67" s="2">
        <v>495.83</v>
      </c>
    </row>
    <row r="68" spans="1:12" x14ac:dyDescent="0.35">
      <c r="A68" t="s">
        <v>98</v>
      </c>
      <c r="B68" s="1">
        <v>46095</v>
      </c>
      <c r="C68" t="s">
        <v>38</v>
      </c>
      <c r="D68" t="s">
        <v>39</v>
      </c>
      <c r="E68" t="s">
        <v>29</v>
      </c>
      <c r="F68" t="s">
        <v>21</v>
      </c>
      <c r="G68">
        <v>3</v>
      </c>
      <c r="H68" s="2">
        <v>2201.79</v>
      </c>
      <c r="I68" s="3">
        <v>0.1</v>
      </c>
      <c r="J68" s="2">
        <v>5944.83</v>
      </c>
      <c r="K68" s="2">
        <v>4440.37</v>
      </c>
      <c r="L68" s="2">
        <v>1504.46</v>
      </c>
    </row>
    <row r="69" spans="1:12" x14ac:dyDescent="0.35">
      <c r="A69" t="s">
        <v>99</v>
      </c>
      <c r="B69" s="1">
        <v>46096</v>
      </c>
      <c r="C69" t="s">
        <v>23</v>
      </c>
      <c r="D69" t="s">
        <v>19</v>
      </c>
      <c r="E69" t="s">
        <v>20</v>
      </c>
      <c r="F69" t="s">
        <v>21</v>
      </c>
      <c r="G69">
        <v>5</v>
      </c>
      <c r="H69" s="2">
        <v>684.92</v>
      </c>
      <c r="I69" s="3">
        <v>0.1</v>
      </c>
      <c r="J69" s="2">
        <v>3082.14</v>
      </c>
      <c r="K69" s="2">
        <v>1948.25</v>
      </c>
      <c r="L69" s="2">
        <v>1133.8900000000001</v>
      </c>
    </row>
    <row r="70" spans="1:12" x14ac:dyDescent="0.35">
      <c r="A70" t="s">
        <v>100</v>
      </c>
      <c r="B70" s="1">
        <v>46097</v>
      </c>
      <c r="C70" t="s">
        <v>18</v>
      </c>
      <c r="D70" t="s">
        <v>19</v>
      </c>
      <c r="E70" t="s">
        <v>15</v>
      </c>
      <c r="F70" t="s">
        <v>21</v>
      </c>
      <c r="G70">
        <v>1</v>
      </c>
      <c r="H70" s="2">
        <v>1281.28</v>
      </c>
      <c r="I70" s="3">
        <v>0.1</v>
      </c>
      <c r="J70" s="2">
        <v>1153.1500000000001</v>
      </c>
      <c r="K70" s="2">
        <v>744.41</v>
      </c>
      <c r="L70" s="2">
        <v>408.74</v>
      </c>
    </row>
    <row r="71" spans="1:12" x14ac:dyDescent="0.35">
      <c r="A71" t="s">
        <v>101</v>
      </c>
      <c r="B71" s="1">
        <v>46097</v>
      </c>
      <c r="C71" t="s">
        <v>18</v>
      </c>
      <c r="D71" t="s">
        <v>19</v>
      </c>
      <c r="E71" t="s">
        <v>32</v>
      </c>
      <c r="F71" t="s">
        <v>21</v>
      </c>
      <c r="G71">
        <v>5</v>
      </c>
      <c r="H71" s="2">
        <v>1277.19</v>
      </c>
      <c r="I71" s="3">
        <v>0.05</v>
      </c>
      <c r="J71" s="2">
        <v>6066.65</v>
      </c>
      <c r="K71" s="2">
        <v>4975.3</v>
      </c>
      <c r="L71" s="2">
        <v>1091.3499999999999</v>
      </c>
    </row>
    <row r="72" spans="1:12" x14ac:dyDescent="0.35">
      <c r="A72" t="s">
        <v>102</v>
      </c>
      <c r="B72" s="1">
        <v>46098</v>
      </c>
      <c r="C72" t="s">
        <v>36</v>
      </c>
      <c r="D72" t="s">
        <v>19</v>
      </c>
      <c r="E72" t="s">
        <v>29</v>
      </c>
      <c r="F72" t="s">
        <v>21</v>
      </c>
      <c r="G72">
        <v>5</v>
      </c>
      <c r="H72" s="2">
        <v>1611.48</v>
      </c>
      <c r="I72" s="3">
        <v>0.1</v>
      </c>
      <c r="J72" s="2">
        <v>7251.66</v>
      </c>
      <c r="K72" s="2">
        <v>4807.8</v>
      </c>
      <c r="L72" s="2">
        <v>2443.86</v>
      </c>
    </row>
    <row r="73" spans="1:12" x14ac:dyDescent="0.35">
      <c r="A73" t="s">
        <v>103</v>
      </c>
      <c r="B73" s="1">
        <v>46101</v>
      </c>
      <c r="C73" t="s">
        <v>13</v>
      </c>
      <c r="D73" t="s">
        <v>14</v>
      </c>
      <c r="E73" t="s">
        <v>20</v>
      </c>
      <c r="F73" t="s">
        <v>16</v>
      </c>
      <c r="G73">
        <v>3</v>
      </c>
      <c r="H73" s="2">
        <v>1147.74</v>
      </c>
      <c r="I73" s="3">
        <v>0.15</v>
      </c>
      <c r="J73" s="2">
        <v>2926.74</v>
      </c>
      <c r="K73" s="2">
        <v>2151.91</v>
      </c>
      <c r="L73" s="2">
        <v>774.83</v>
      </c>
    </row>
    <row r="74" spans="1:12" x14ac:dyDescent="0.35">
      <c r="A74" t="s">
        <v>104</v>
      </c>
      <c r="B74" s="1">
        <v>46102</v>
      </c>
      <c r="C74" t="s">
        <v>73</v>
      </c>
      <c r="D74" t="s">
        <v>28</v>
      </c>
      <c r="E74" t="s">
        <v>24</v>
      </c>
      <c r="F74" t="s">
        <v>16</v>
      </c>
      <c r="G74">
        <v>2</v>
      </c>
      <c r="H74" s="2">
        <v>11803.18</v>
      </c>
      <c r="I74" s="3">
        <v>0</v>
      </c>
      <c r="J74" s="2">
        <v>23606.36</v>
      </c>
      <c r="K74" s="2">
        <v>16698.150000000001</v>
      </c>
      <c r="L74" s="2">
        <v>6908.21</v>
      </c>
    </row>
    <row r="75" spans="1:12" x14ac:dyDescent="0.35">
      <c r="A75" t="s">
        <v>105</v>
      </c>
      <c r="B75" s="1">
        <v>46102</v>
      </c>
      <c r="C75" t="s">
        <v>23</v>
      </c>
      <c r="D75" t="s">
        <v>19</v>
      </c>
      <c r="E75" t="s">
        <v>24</v>
      </c>
      <c r="F75" t="s">
        <v>25</v>
      </c>
      <c r="G75">
        <v>2</v>
      </c>
      <c r="H75" s="2">
        <v>683.81</v>
      </c>
      <c r="I75" s="3">
        <v>0.15</v>
      </c>
      <c r="J75" s="2">
        <v>1162.48</v>
      </c>
      <c r="K75" s="2">
        <v>931.61</v>
      </c>
      <c r="L75" s="2">
        <v>230.87</v>
      </c>
    </row>
    <row r="76" spans="1:12" x14ac:dyDescent="0.35">
      <c r="A76" t="s">
        <v>106</v>
      </c>
      <c r="B76" s="1">
        <v>46104</v>
      </c>
      <c r="C76" t="s">
        <v>18</v>
      </c>
      <c r="D76" t="s">
        <v>19</v>
      </c>
      <c r="E76" t="s">
        <v>29</v>
      </c>
      <c r="F76" t="s">
        <v>21</v>
      </c>
      <c r="G76">
        <v>1</v>
      </c>
      <c r="H76" s="2">
        <v>1196.5</v>
      </c>
      <c r="I76" s="3">
        <v>0.15</v>
      </c>
      <c r="J76" s="2">
        <v>1017.02</v>
      </c>
      <c r="K76" s="2">
        <v>925.88</v>
      </c>
      <c r="L76" s="2">
        <v>91.14</v>
      </c>
    </row>
    <row r="77" spans="1:12" x14ac:dyDescent="0.35">
      <c r="A77" t="s">
        <v>107</v>
      </c>
      <c r="B77" s="1">
        <v>46109</v>
      </c>
      <c r="C77" t="s">
        <v>42</v>
      </c>
      <c r="D77" t="s">
        <v>19</v>
      </c>
      <c r="E77" t="s">
        <v>32</v>
      </c>
      <c r="F77" t="s">
        <v>16</v>
      </c>
      <c r="G77">
        <v>5</v>
      </c>
      <c r="H77" s="2">
        <v>969.57</v>
      </c>
      <c r="I77" s="3">
        <v>0.15</v>
      </c>
      <c r="J77" s="2">
        <v>4120.67</v>
      </c>
      <c r="K77" s="2">
        <v>2720.15</v>
      </c>
      <c r="L77" s="2">
        <v>1400.52</v>
      </c>
    </row>
    <row r="78" spans="1:12" x14ac:dyDescent="0.35">
      <c r="A78" t="s">
        <v>108</v>
      </c>
      <c r="B78" s="1">
        <v>46110</v>
      </c>
      <c r="C78" t="s">
        <v>18</v>
      </c>
      <c r="D78" t="s">
        <v>19</v>
      </c>
      <c r="E78" t="s">
        <v>20</v>
      </c>
      <c r="F78" t="s">
        <v>25</v>
      </c>
      <c r="G78">
        <v>5</v>
      </c>
      <c r="H78" s="2">
        <v>1147.4000000000001</v>
      </c>
      <c r="I78" s="3">
        <v>0.05</v>
      </c>
      <c r="J78" s="2">
        <v>5450.15</v>
      </c>
      <c r="K78" s="2">
        <v>4314.24</v>
      </c>
      <c r="L78" s="2">
        <v>1135.9100000000001</v>
      </c>
    </row>
    <row r="79" spans="1:12" x14ac:dyDescent="0.35">
      <c r="A79" t="s">
        <v>109</v>
      </c>
      <c r="B79" s="1">
        <v>46110</v>
      </c>
      <c r="C79" t="s">
        <v>13</v>
      </c>
      <c r="D79" t="s">
        <v>14</v>
      </c>
      <c r="E79" t="s">
        <v>20</v>
      </c>
      <c r="F79" t="s">
        <v>21</v>
      </c>
      <c r="G79">
        <v>2</v>
      </c>
      <c r="H79" s="2">
        <v>1018.11</v>
      </c>
      <c r="I79" s="3">
        <v>0.1</v>
      </c>
      <c r="J79" s="2">
        <v>1832.6</v>
      </c>
      <c r="K79" s="2">
        <v>1280.21</v>
      </c>
      <c r="L79" s="2">
        <v>552.39</v>
      </c>
    </row>
    <row r="80" spans="1:12" x14ac:dyDescent="0.35">
      <c r="A80" t="s">
        <v>110</v>
      </c>
      <c r="B80" s="1">
        <v>46111</v>
      </c>
      <c r="C80" t="s">
        <v>23</v>
      </c>
      <c r="D80" t="s">
        <v>19</v>
      </c>
      <c r="E80" t="s">
        <v>32</v>
      </c>
      <c r="F80" t="s">
        <v>16</v>
      </c>
      <c r="G80">
        <v>1</v>
      </c>
      <c r="H80" s="2">
        <v>755.99</v>
      </c>
      <c r="I80" s="3">
        <v>0.15</v>
      </c>
      <c r="J80" s="2">
        <v>642.59</v>
      </c>
      <c r="K80" s="2">
        <v>423.23</v>
      </c>
      <c r="L80" s="2">
        <v>219.36</v>
      </c>
    </row>
    <row r="81" spans="1:12" x14ac:dyDescent="0.35">
      <c r="A81" t="s">
        <v>111</v>
      </c>
      <c r="B81" s="1">
        <v>46112</v>
      </c>
      <c r="C81" t="s">
        <v>27</v>
      </c>
      <c r="D81" t="s">
        <v>28</v>
      </c>
      <c r="E81" t="s">
        <v>24</v>
      </c>
      <c r="F81" t="s">
        <v>16</v>
      </c>
      <c r="G81">
        <v>5</v>
      </c>
      <c r="H81" s="2">
        <v>1806.88</v>
      </c>
      <c r="I81" s="3">
        <v>0.05</v>
      </c>
      <c r="J81" s="2">
        <v>8582.68</v>
      </c>
      <c r="K81" s="2">
        <v>5276.74</v>
      </c>
      <c r="L81" s="2">
        <v>3305.94</v>
      </c>
    </row>
    <row r="82" spans="1:12" x14ac:dyDescent="0.35">
      <c r="A82" t="s">
        <v>112</v>
      </c>
      <c r="B82" s="1">
        <v>46112</v>
      </c>
      <c r="C82" t="s">
        <v>18</v>
      </c>
      <c r="D82" t="s">
        <v>19</v>
      </c>
      <c r="E82" t="s">
        <v>24</v>
      </c>
      <c r="F82" t="s">
        <v>25</v>
      </c>
      <c r="G82">
        <v>1</v>
      </c>
      <c r="H82" s="2">
        <v>1222.95</v>
      </c>
      <c r="I82" s="3">
        <v>0.1</v>
      </c>
      <c r="J82" s="2">
        <v>1100.6500000000001</v>
      </c>
      <c r="K82" s="2">
        <v>734.07</v>
      </c>
      <c r="L82" s="2">
        <v>366.58</v>
      </c>
    </row>
    <row r="83" spans="1:12" x14ac:dyDescent="0.35">
      <c r="A83" t="s">
        <v>113</v>
      </c>
      <c r="B83" s="1">
        <v>46113</v>
      </c>
      <c r="C83" t="s">
        <v>42</v>
      </c>
      <c r="D83" t="s">
        <v>19</v>
      </c>
      <c r="E83" t="s">
        <v>20</v>
      </c>
      <c r="F83" t="s">
        <v>21</v>
      </c>
      <c r="G83">
        <v>1</v>
      </c>
      <c r="H83" s="2">
        <v>962.65</v>
      </c>
      <c r="I83" s="3">
        <v>0.15</v>
      </c>
      <c r="J83" s="2">
        <v>818.25</v>
      </c>
      <c r="K83" s="2">
        <v>680.92</v>
      </c>
      <c r="L83" s="2">
        <v>137.33000000000001</v>
      </c>
    </row>
    <row r="84" spans="1:12" x14ac:dyDescent="0.35">
      <c r="A84" t="s">
        <v>114</v>
      </c>
      <c r="B84" s="1">
        <v>46116</v>
      </c>
      <c r="C84" t="s">
        <v>23</v>
      </c>
      <c r="D84" t="s">
        <v>19</v>
      </c>
      <c r="E84" t="s">
        <v>20</v>
      </c>
      <c r="F84" t="s">
        <v>25</v>
      </c>
      <c r="G84">
        <v>3</v>
      </c>
      <c r="H84" s="2">
        <v>686.32</v>
      </c>
      <c r="I84" s="3">
        <v>0.05</v>
      </c>
      <c r="J84" s="2">
        <v>1956.01</v>
      </c>
      <c r="K84" s="2">
        <v>1436.72</v>
      </c>
      <c r="L84" s="2">
        <v>519.29</v>
      </c>
    </row>
    <row r="85" spans="1:12" x14ac:dyDescent="0.35">
      <c r="A85" t="s">
        <v>115</v>
      </c>
      <c r="B85" s="1">
        <v>46119</v>
      </c>
      <c r="C85" t="s">
        <v>38</v>
      </c>
      <c r="D85" t="s">
        <v>39</v>
      </c>
      <c r="E85" t="s">
        <v>20</v>
      </c>
      <c r="F85" t="s">
        <v>25</v>
      </c>
      <c r="G85">
        <v>2</v>
      </c>
      <c r="H85" s="2">
        <v>2008.62</v>
      </c>
      <c r="I85" s="3">
        <v>0</v>
      </c>
      <c r="J85" s="2">
        <v>4017.24</v>
      </c>
      <c r="K85" s="2">
        <v>2959.16</v>
      </c>
      <c r="L85" s="2">
        <v>1058.08</v>
      </c>
    </row>
    <row r="86" spans="1:12" x14ac:dyDescent="0.35">
      <c r="A86" t="s">
        <v>116</v>
      </c>
      <c r="B86" s="1">
        <v>46121</v>
      </c>
      <c r="C86" t="s">
        <v>18</v>
      </c>
      <c r="D86" t="s">
        <v>19</v>
      </c>
      <c r="E86" t="s">
        <v>15</v>
      </c>
      <c r="F86" t="s">
        <v>25</v>
      </c>
      <c r="G86">
        <v>3</v>
      </c>
      <c r="H86" s="2">
        <v>1155.03</v>
      </c>
      <c r="I86" s="3">
        <v>0</v>
      </c>
      <c r="J86" s="2">
        <v>3465.09</v>
      </c>
      <c r="K86" s="2">
        <v>2650.58</v>
      </c>
      <c r="L86" s="2">
        <v>814.51</v>
      </c>
    </row>
    <row r="87" spans="1:12" x14ac:dyDescent="0.35">
      <c r="A87" t="s">
        <v>117</v>
      </c>
      <c r="B87" s="1">
        <v>46121</v>
      </c>
      <c r="C87" t="s">
        <v>36</v>
      </c>
      <c r="D87" t="s">
        <v>19</v>
      </c>
      <c r="E87" t="s">
        <v>32</v>
      </c>
      <c r="F87" t="s">
        <v>21</v>
      </c>
      <c r="G87">
        <v>3</v>
      </c>
      <c r="H87" s="2">
        <v>1392.07</v>
      </c>
      <c r="I87" s="3">
        <v>0.1</v>
      </c>
      <c r="J87" s="2">
        <v>3758.59</v>
      </c>
      <c r="K87" s="2">
        <v>3052.7</v>
      </c>
      <c r="L87" s="2">
        <v>705.89</v>
      </c>
    </row>
    <row r="88" spans="1:12" x14ac:dyDescent="0.35">
      <c r="A88" t="s">
        <v>118</v>
      </c>
      <c r="B88" s="1">
        <v>46123</v>
      </c>
      <c r="C88" t="s">
        <v>38</v>
      </c>
      <c r="D88" t="s">
        <v>39</v>
      </c>
      <c r="E88" t="s">
        <v>29</v>
      </c>
      <c r="F88" t="s">
        <v>25</v>
      </c>
      <c r="G88">
        <v>3</v>
      </c>
      <c r="H88" s="2">
        <v>2272.4299999999998</v>
      </c>
      <c r="I88" s="3">
        <v>0.15</v>
      </c>
      <c r="J88" s="2">
        <v>5794.7</v>
      </c>
      <c r="K88" s="2">
        <v>4427.04</v>
      </c>
      <c r="L88" s="2">
        <v>1367.66</v>
      </c>
    </row>
    <row r="89" spans="1:12" x14ac:dyDescent="0.35">
      <c r="A89" t="s">
        <v>119</v>
      </c>
      <c r="B89" s="1">
        <v>46127</v>
      </c>
      <c r="C89" t="s">
        <v>18</v>
      </c>
      <c r="D89" t="s">
        <v>19</v>
      </c>
      <c r="E89" t="s">
        <v>20</v>
      </c>
      <c r="F89" t="s">
        <v>25</v>
      </c>
      <c r="G89">
        <v>4</v>
      </c>
      <c r="H89" s="2">
        <v>1202.52</v>
      </c>
      <c r="I89" s="3">
        <v>0.1</v>
      </c>
      <c r="J89" s="2">
        <v>4329.07</v>
      </c>
      <c r="K89" s="2">
        <v>2847.02</v>
      </c>
      <c r="L89" s="2">
        <v>1482.05</v>
      </c>
    </row>
    <row r="90" spans="1:12" x14ac:dyDescent="0.35">
      <c r="A90" t="s">
        <v>120</v>
      </c>
      <c r="B90" s="1">
        <v>46128</v>
      </c>
      <c r="C90" t="s">
        <v>38</v>
      </c>
      <c r="D90" t="s">
        <v>39</v>
      </c>
      <c r="E90" t="s">
        <v>15</v>
      </c>
      <c r="F90" t="s">
        <v>25</v>
      </c>
      <c r="G90">
        <v>2</v>
      </c>
      <c r="H90" s="2">
        <v>2223.98</v>
      </c>
      <c r="I90" s="3">
        <v>0.15</v>
      </c>
      <c r="J90" s="2">
        <v>3780.77</v>
      </c>
      <c r="K90" s="2">
        <v>2678.54</v>
      </c>
      <c r="L90" s="2">
        <v>1102.23</v>
      </c>
    </row>
    <row r="91" spans="1:12" x14ac:dyDescent="0.35">
      <c r="A91" t="s">
        <v>121</v>
      </c>
      <c r="B91" s="1">
        <v>46128</v>
      </c>
      <c r="C91" t="s">
        <v>38</v>
      </c>
      <c r="D91" t="s">
        <v>39</v>
      </c>
      <c r="E91" t="s">
        <v>32</v>
      </c>
      <c r="F91" t="s">
        <v>25</v>
      </c>
      <c r="G91">
        <v>3</v>
      </c>
      <c r="H91" s="2">
        <v>2154.87</v>
      </c>
      <c r="I91" s="3">
        <v>0.1</v>
      </c>
      <c r="J91" s="2">
        <v>5818.15</v>
      </c>
      <c r="K91" s="2">
        <v>4759.8999999999996</v>
      </c>
      <c r="L91" s="2">
        <v>1058.25</v>
      </c>
    </row>
    <row r="92" spans="1:12" x14ac:dyDescent="0.35">
      <c r="A92" t="s">
        <v>122</v>
      </c>
      <c r="B92" s="1">
        <v>46132</v>
      </c>
      <c r="C92" t="s">
        <v>23</v>
      </c>
      <c r="D92" t="s">
        <v>19</v>
      </c>
      <c r="E92" t="s">
        <v>20</v>
      </c>
      <c r="F92" t="s">
        <v>16</v>
      </c>
      <c r="G92">
        <v>4</v>
      </c>
      <c r="H92" s="2">
        <v>659.07</v>
      </c>
      <c r="I92" s="3">
        <v>0.05</v>
      </c>
      <c r="J92" s="2">
        <v>2504.4699999999998</v>
      </c>
      <c r="K92" s="2">
        <v>1680.79</v>
      </c>
      <c r="L92" s="2">
        <v>823.68</v>
      </c>
    </row>
    <row r="93" spans="1:12" x14ac:dyDescent="0.35">
      <c r="A93" t="s">
        <v>123</v>
      </c>
      <c r="B93" s="1">
        <v>46133</v>
      </c>
      <c r="C93" t="s">
        <v>13</v>
      </c>
      <c r="D93" t="s">
        <v>14</v>
      </c>
      <c r="E93" t="s">
        <v>24</v>
      </c>
      <c r="F93" t="s">
        <v>21</v>
      </c>
      <c r="G93">
        <v>5</v>
      </c>
      <c r="H93" s="2">
        <v>1021.1</v>
      </c>
      <c r="I93" s="3">
        <v>0</v>
      </c>
      <c r="J93" s="2">
        <v>5105.5</v>
      </c>
      <c r="K93" s="2">
        <v>3387.51</v>
      </c>
      <c r="L93" s="2">
        <v>1717.99</v>
      </c>
    </row>
    <row r="94" spans="1:12" x14ac:dyDescent="0.35">
      <c r="A94" t="s">
        <v>124</v>
      </c>
      <c r="B94" s="1">
        <v>46134</v>
      </c>
      <c r="C94" t="s">
        <v>18</v>
      </c>
      <c r="D94" t="s">
        <v>19</v>
      </c>
      <c r="E94" t="s">
        <v>29</v>
      </c>
      <c r="F94" t="s">
        <v>21</v>
      </c>
      <c r="G94">
        <v>1</v>
      </c>
      <c r="H94" s="2">
        <v>1087.8699999999999</v>
      </c>
      <c r="I94" s="3">
        <v>0.05</v>
      </c>
      <c r="J94" s="2">
        <v>1033.48</v>
      </c>
      <c r="K94" s="2">
        <v>636.73</v>
      </c>
      <c r="L94" s="2">
        <v>396.75</v>
      </c>
    </row>
    <row r="95" spans="1:12" x14ac:dyDescent="0.35">
      <c r="A95" t="s">
        <v>125</v>
      </c>
      <c r="B95" s="1">
        <v>46135</v>
      </c>
      <c r="C95" t="s">
        <v>36</v>
      </c>
      <c r="D95" t="s">
        <v>19</v>
      </c>
      <c r="E95" t="s">
        <v>32</v>
      </c>
      <c r="F95" t="s">
        <v>16</v>
      </c>
      <c r="G95">
        <v>3</v>
      </c>
      <c r="H95" s="2">
        <v>1563.36</v>
      </c>
      <c r="I95" s="3">
        <v>0.05</v>
      </c>
      <c r="J95" s="2">
        <v>4455.58</v>
      </c>
      <c r="K95" s="2">
        <v>3575.88</v>
      </c>
      <c r="L95" s="2">
        <v>879.7</v>
      </c>
    </row>
    <row r="96" spans="1:12" x14ac:dyDescent="0.35">
      <c r="A96" t="s">
        <v>126</v>
      </c>
      <c r="B96" s="1">
        <v>46136</v>
      </c>
      <c r="C96" t="s">
        <v>13</v>
      </c>
      <c r="D96" t="s">
        <v>14</v>
      </c>
      <c r="E96" t="s">
        <v>29</v>
      </c>
      <c r="F96" t="s">
        <v>16</v>
      </c>
      <c r="G96">
        <v>2</v>
      </c>
      <c r="H96" s="2">
        <v>1133.5899999999999</v>
      </c>
      <c r="I96" s="3">
        <v>0.05</v>
      </c>
      <c r="J96" s="2">
        <v>2153.8200000000002</v>
      </c>
      <c r="K96" s="2">
        <v>1540.99</v>
      </c>
      <c r="L96" s="2">
        <v>612.83000000000004</v>
      </c>
    </row>
    <row r="97" spans="1:12" x14ac:dyDescent="0.35">
      <c r="A97" t="s">
        <v>127</v>
      </c>
      <c r="B97" s="1">
        <v>46136</v>
      </c>
      <c r="C97" t="s">
        <v>73</v>
      </c>
      <c r="D97" t="s">
        <v>28</v>
      </c>
      <c r="E97" t="s">
        <v>32</v>
      </c>
      <c r="F97" t="s">
        <v>21</v>
      </c>
      <c r="G97">
        <v>4</v>
      </c>
      <c r="H97" s="2">
        <v>12604.3</v>
      </c>
      <c r="I97" s="3">
        <v>0.05</v>
      </c>
      <c r="J97" s="2">
        <v>47896.34</v>
      </c>
      <c r="K97" s="2">
        <v>37198.68</v>
      </c>
      <c r="L97" s="2">
        <v>10697.66</v>
      </c>
    </row>
    <row r="98" spans="1:12" x14ac:dyDescent="0.35">
      <c r="A98" t="s">
        <v>128</v>
      </c>
      <c r="B98" s="1">
        <v>46137</v>
      </c>
      <c r="C98" t="s">
        <v>36</v>
      </c>
      <c r="D98" t="s">
        <v>19</v>
      </c>
      <c r="E98" t="s">
        <v>15</v>
      </c>
      <c r="F98" t="s">
        <v>16</v>
      </c>
      <c r="G98">
        <v>5</v>
      </c>
      <c r="H98" s="2">
        <v>1537.13</v>
      </c>
      <c r="I98" s="3">
        <v>0.1</v>
      </c>
      <c r="J98" s="2">
        <v>6917.09</v>
      </c>
      <c r="K98" s="2">
        <v>4392.43</v>
      </c>
      <c r="L98" s="2">
        <v>2524.66</v>
      </c>
    </row>
    <row r="99" spans="1:12" x14ac:dyDescent="0.35">
      <c r="A99" t="s">
        <v>129</v>
      </c>
      <c r="B99" s="1">
        <v>46139</v>
      </c>
      <c r="C99" t="s">
        <v>13</v>
      </c>
      <c r="D99" t="s">
        <v>14</v>
      </c>
      <c r="E99" t="s">
        <v>29</v>
      </c>
      <c r="F99" t="s">
        <v>16</v>
      </c>
      <c r="G99">
        <v>4</v>
      </c>
      <c r="H99" s="2">
        <v>1124.7</v>
      </c>
      <c r="I99" s="3">
        <v>0.05</v>
      </c>
      <c r="J99" s="2">
        <v>4273.8599999999997</v>
      </c>
      <c r="K99" s="2">
        <v>2583.7800000000002</v>
      </c>
      <c r="L99" s="2">
        <v>1690.08</v>
      </c>
    </row>
    <row r="100" spans="1:12" x14ac:dyDescent="0.35">
      <c r="A100" t="s">
        <v>130</v>
      </c>
      <c r="B100" s="1">
        <v>46140</v>
      </c>
      <c r="C100" t="s">
        <v>73</v>
      </c>
      <c r="D100" t="s">
        <v>28</v>
      </c>
      <c r="E100" t="s">
        <v>24</v>
      </c>
      <c r="F100" t="s">
        <v>21</v>
      </c>
      <c r="G100">
        <v>3</v>
      </c>
      <c r="H100" s="2">
        <v>12801.76</v>
      </c>
      <c r="I100" s="3">
        <v>0.15</v>
      </c>
      <c r="J100" s="2">
        <v>32644.49</v>
      </c>
      <c r="K100" s="2">
        <v>28372.86</v>
      </c>
      <c r="L100" s="2">
        <v>4271.63</v>
      </c>
    </row>
    <row r="101" spans="1:12" x14ac:dyDescent="0.35">
      <c r="A101" t="s">
        <v>131</v>
      </c>
      <c r="B101" s="1">
        <v>46140</v>
      </c>
      <c r="C101" t="s">
        <v>27</v>
      </c>
      <c r="D101" t="s">
        <v>28</v>
      </c>
      <c r="E101" t="s">
        <v>15</v>
      </c>
      <c r="F101" t="s">
        <v>16</v>
      </c>
      <c r="G101">
        <v>1</v>
      </c>
      <c r="H101" s="2">
        <v>1861.05</v>
      </c>
      <c r="I101" s="3">
        <v>0.1</v>
      </c>
      <c r="J101" s="2">
        <v>1674.94</v>
      </c>
      <c r="K101" s="2">
        <v>1413.14</v>
      </c>
      <c r="L101" s="2">
        <v>261.8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3F771-2A05-4D08-A1C7-483293FB2BB2}">
  <dimension ref="A1:B6"/>
  <sheetViews>
    <sheetView workbookViewId="0">
      <selection activeCell="B2" sqref="B2:B3"/>
    </sheetView>
  </sheetViews>
  <sheetFormatPr defaultRowHeight="14.5" x14ac:dyDescent="0.35"/>
  <cols>
    <col min="1" max="1" width="15.26953125" bestFit="1" customWidth="1"/>
    <col min="2" max="2" width="11.7265625" bestFit="1" customWidth="1"/>
  </cols>
  <sheetData>
    <row r="1" spans="1:2" x14ac:dyDescent="0.35">
      <c r="A1" s="5" t="s">
        <v>132</v>
      </c>
      <c r="B1" s="5" t="s">
        <v>133</v>
      </c>
    </row>
    <row r="2" spans="1:2" x14ac:dyDescent="0.35">
      <c r="A2" t="s">
        <v>134</v>
      </c>
      <c r="B2" s="6">
        <f>SUM(Sales_data[[#All],[Revenue_INR]])</f>
        <v>497502.92000000004</v>
      </c>
    </row>
    <row r="3" spans="1:2" x14ac:dyDescent="0.35">
      <c r="A3" t="s">
        <v>135</v>
      </c>
      <c r="B3" s="6">
        <f>SUM(Sales_data[[#All],[Profit_INR]])</f>
        <v>130783.46000000006</v>
      </c>
    </row>
    <row r="4" spans="1:2" x14ac:dyDescent="0.35">
      <c r="A4" t="s">
        <v>136</v>
      </c>
      <c r="B4">
        <f>SUM(Sales_data[[#All],[Quantity]])</f>
        <v>311</v>
      </c>
    </row>
    <row r="5" spans="1:2" x14ac:dyDescent="0.35">
      <c r="A5" t="s">
        <v>137</v>
      </c>
      <c r="B5">
        <f>COUNTA(Sales_data[[#All],[Order_ID]])</f>
        <v>101</v>
      </c>
    </row>
    <row r="6" spans="1:2" x14ac:dyDescent="0.35">
      <c r="A6" t="s">
        <v>138</v>
      </c>
      <c r="B6">
        <f>AVERAGE(Sales_data[[#All],[Revenue_INR]])</f>
        <v>4975.0292000000009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DASHBOARD</vt:lpstr>
      <vt:lpstr>Sales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 Yadav</cp:lastModifiedBy>
  <dcterms:created xsi:type="dcterms:W3CDTF">2026-10-29T08:33:42Z</dcterms:created>
  <dcterms:modified xsi:type="dcterms:W3CDTF">2026-10-29T10:01:27Z</dcterms:modified>
</cp:coreProperties>
</file>